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" sheetId="1" r:id="rId5"/>
    <sheet state="visible" name="L2" sheetId="2" r:id="rId6"/>
    <sheet state="visible" name="L3" sheetId="3" r:id="rId7"/>
  </sheets>
  <definedNames/>
  <calcPr/>
</workbook>
</file>

<file path=xl/sharedStrings.xml><?xml version="1.0" encoding="utf-8"?>
<sst xmlns="http://schemas.openxmlformats.org/spreadsheetml/2006/main" count="303" uniqueCount="96">
  <si>
    <t>📊 Level 1 — Cenário 1A</t>
  </si>
  <si>
    <t>Exclusive Relation — Assignment of Zero</t>
  </si>
  <si>
    <t>Caso de Teste</t>
  </si>
  <si>
    <t>Variável</t>
  </si>
  <si>
    <t>Módulo</t>
  </si>
  <si>
    <t>RMSE (Baseline × MP)</t>
  </si>
  <si>
    <t>Pearson (Baseline × MP)</t>
  </si>
  <si>
    <t>Pearson (GT × MP)</t>
  </si>
  <si>
    <t>Status</t>
  </si>
  <si>
    <t>CT_1A_001</t>
  </si>
  <si>
    <t>A = 0</t>
  </si>
  <si>
    <t>Module 1</t>
  </si>
  <si>
    <t>Module 2</t>
  </si>
  <si>
    <t>CT_1A_002</t>
  </si>
  <si>
    <t>B = 0</t>
  </si>
  <si>
    <t>CT_1A_003</t>
  </si>
  <si>
    <t>C = 0</t>
  </si>
  <si>
    <t>CT_1A_004</t>
  </si>
  <si>
    <t>D = 0</t>
  </si>
  <si>
    <t>📊 Level 1 — Cenário 1B</t>
  </si>
  <si>
    <t>Exclusive Relation — Assignment of NULL</t>
  </si>
  <si>
    <t>RMSE</t>
  </si>
  <si>
    <t>CT_1B_001</t>
  </si>
  <si>
    <t>A = NULL</t>
  </si>
  <si>
    <t>CT_1B_002</t>
  </si>
  <si>
    <t>B = NULL</t>
  </si>
  <si>
    <t>CT_1B_003</t>
  </si>
  <si>
    <t>C = NULL</t>
  </si>
  <si>
    <t>CT_1B_004</t>
  </si>
  <si>
    <t>D = NULL</t>
  </si>
  <si>
    <t>📊 Level 1 — Cenário 1C</t>
  </si>
  <si>
    <t>Permutative Relation — Temporal Lag</t>
  </si>
  <si>
    <t>Transformação</t>
  </si>
  <si>
    <t>CT_1C_001</t>
  </si>
  <si>
    <t>A Lag = 10</t>
  </si>
  <si>
    <t>CT_1C_002</t>
  </si>
  <si>
    <t>A Lag = 50</t>
  </si>
  <si>
    <t>CT_1C_003</t>
  </si>
  <si>
    <t>A Lag = 100</t>
  </si>
  <si>
    <t>📊 Level 1 — Cenário 1D</t>
  </si>
  <si>
    <t>Multiplicative Relation — Scaling (×20)</t>
  </si>
  <si>
    <t>CT_1D_001</t>
  </si>
  <si>
    <t>A ×20</t>
  </si>
  <si>
    <t>CT_1D_002</t>
  </si>
  <si>
    <t>B ×20</t>
  </si>
  <si>
    <t>CT_1D_003</t>
  </si>
  <si>
    <t>C ×20</t>
  </si>
  <si>
    <t>CT_1D_004</t>
  </si>
  <si>
    <t>D ×20</t>
  </si>
  <si>
    <t>📊 Level 1 — Cenário 1E</t>
  </si>
  <si>
    <t>Sustainable Relation — Gaussian Noise (σ = 0.2)</t>
  </si>
  <si>
    <t>CT_1E_001</t>
  </si>
  <si>
    <t>Noise on A</t>
  </si>
  <si>
    <t>CT_1E_002</t>
  </si>
  <si>
    <t>Noise on B</t>
  </si>
  <si>
    <t>CT_1E_003</t>
  </si>
  <si>
    <t>Noise on C</t>
  </si>
  <si>
    <t>CT_1E_004</t>
  </si>
  <si>
    <t>Noise on D</t>
  </si>
  <si>
    <t>📊 Scenario 2A — Multiplicative Scaling of Kinematic Inputs (M)</t>
  </si>
  <si>
    <t>Combustível</t>
  </si>
  <si>
    <t>CT_2A_001</t>
  </si>
  <si>
    <t>Speed ×20</t>
  </si>
  <si>
    <t>Ethanol</t>
  </si>
  <si>
    <t>Gasoline</t>
  </si>
  <si>
    <t>CT_2A_002</t>
  </si>
  <si>
    <t>Speed ×40</t>
  </si>
  <si>
    <t>CT_2A_003</t>
  </si>
  <si>
    <t>Speed &amp; Accel ×10</t>
  </si>
  <si>
    <t>CT_2A_004</t>
  </si>
  <si>
    <t>Speed &amp; Accel ×20</t>
  </si>
  <si>
    <t>CT_2A_005</t>
  </si>
  <si>
    <t>Speed &amp; Accel ×30</t>
  </si>
  <si>
    <t>📊 Scenario 2B — Additive Translation of Spatial Coordinates (A)</t>
  </si>
  <si>
    <t>CT_2B_001</t>
  </si>
  <si>
    <t>Coord +1,0</t>
  </si>
  <si>
    <t>CT_2B_002</t>
  </si>
  <si>
    <t>Coord +5,0</t>
  </si>
  <si>
    <t>📊 Scenario 2C — Directional Inversion of Dynamic Input (IV)</t>
  </si>
  <si>
    <t>CT_2C_001</t>
  </si>
  <si>
    <t>Accel Sign Inversion</t>
  </si>
  <si>
    <t>📊 Scenario 2D — Temporal Reordering of Speed Signal (P)</t>
  </si>
  <si>
    <t>Lag</t>
  </si>
  <si>
    <t>CT_2D_001</t>
  </si>
  <si>
    <t>CT_2D_002</t>
  </si>
  <si>
    <t>CT_2D_003</t>
  </si>
  <si>
    <t>CT_2D_004</t>
  </si>
  <si>
    <t>CT_2D_005</t>
  </si>
  <si>
    <t>📊 Scenario 3A — Steep Uphill Simulation (Composite)</t>
  </si>
  <si>
    <t>CT_3A_001 — Steep Uphill Simulation</t>
  </si>
  <si>
    <t>📊 Scenario 3B — Downhill Inertia Simulation (Composite)</t>
  </si>
  <si>
    <t>CT_3B_001 — Downhill Inertia Simulation</t>
  </si>
  <si>
    <t>📊 Scenario 3C — Hard Braking / Fuel Cut-Off (Composite)</t>
  </si>
  <si>
    <t>CT_3C_001 — Hard Braking / Fuel Cut-Off</t>
  </si>
  <si>
    <t>📊 Scenario 3D — Constant Speed Cruise (Composite)</t>
  </si>
  <si>
    <t>CT_3D_001 — Constant Speed Cruise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</si>
</sst>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"/>
    <numFmt numFmtId="166" formatCode="m.yyyy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L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3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G13" displayName="Test_Case_Metrics" name="Test_Case_Metrics" id="1">
  <tableColumns count="7">
    <tableColumn name="Caso de Teste" id="1"/>
    <tableColumn name="Variável" id="2"/>
    <tableColumn name="Módulo" id="3"/>
    <tableColumn name="RMSE (Baseline × MP)" id="4"/>
    <tableColumn name="Pearson (Baseline × MP)" id="5"/>
    <tableColumn name="Pearson (GT × MP)" id="6"/>
    <tableColumn name="Status" id="7"/>
  </tableColumns>
  <tableStyleInfo name="L1-style" showColumnStripes="0" showFirstColumn="1" showLastColumn="1" showRowStripes="1"/>
</table>
</file>

<file path=xl/tables/table2.xml><?xml version="1.0" encoding="utf-8"?>
<table xmlns="http://schemas.openxmlformats.org/spreadsheetml/2006/main" ref="A21:G29" displayName="Test_Case_Metrics2" name="Test_Case_Metrics2" id="2">
  <tableColumns count="7">
    <tableColumn name="Caso de Teste" id="1"/>
    <tableColumn name="Variável" id="2"/>
    <tableColumn name="Módulo" id="3"/>
    <tableColumn name="RMSE" id="4"/>
    <tableColumn name="Pearson (Baseline × MP)" id="5"/>
    <tableColumn name="Pearson (GT × MP)" id="6"/>
    <tableColumn name="Status" id="7"/>
  </tableColumns>
  <tableStyleInfo name="L1-style 2" showColumnStripes="0" showFirstColumn="1" showLastColumn="1" showRowStripes="1"/>
</table>
</file>

<file path=xl/tables/table3.xml><?xml version="1.0" encoding="utf-8"?>
<table xmlns="http://schemas.openxmlformats.org/spreadsheetml/2006/main" ref="A38:G44" displayName="Tabela_1" name="Tabela_1" id="3">
  <tableColumns count="7">
    <tableColumn name="Caso de Teste" id="1"/>
    <tableColumn name="Transformação" id="2"/>
    <tableColumn name="Módulo" id="3"/>
    <tableColumn name="RMSE" id="4"/>
    <tableColumn name="Pearson (Baseline × MP)" id="5"/>
    <tableColumn name="Pearson (GT × MP)" id="6"/>
    <tableColumn name="Status" id="7"/>
  </tableColumns>
  <tableStyleInfo name="L1-style 3" showColumnStripes="0" showFirstColumn="1" showLastColumn="1" showRowStripes="1"/>
</table>
</file>

<file path=xl/tables/table4.xml><?xml version="1.0" encoding="utf-8"?>
<table xmlns="http://schemas.openxmlformats.org/spreadsheetml/2006/main" ref="A51:G59" displayName="Test_Case_Metrics3" name="Test_Case_Metrics3" id="4">
  <tableColumns count="7">
    <tableColumn name="Caso de Teste" id="1"/>
    <tableColumn name="Variável" id="2"/>
    <tableColumn name="Módulo" id="3"/>
    <tableColumn name="RMSE" id="4"/>
    <tableColumn name="Pearson (Baseline × MP)" id="5"/>
    <tableColumn name="Pearson (GT × MP)" id="6"/>
    <tableColumn name="Status" id="7"/>
  </tableColumns>
  <tableStyleInfo name="L1-style 4" showColumnStripes="0" showFirstColumn="1" showLastColumn="1" showRowStripes="1"/>
</table>
</file>

<file path=xl/tables/table5.xml><?xml version="1.0" encoding="utf-8"?>
<table xmlns="http://schemas.openxmlformats.org/spreadsheetml/2006/main" ref="A67:G75" displayName="Test_Case_Metrics4" name="Test_Case_Metrics4" id="5">
  <tableColumns count="7">
    <tableColumn name="Caso de Teste" id="1"/>
    <tableColumn name="Variável" id="2"/>
    <tableColumn name="Módulo" id="3"/>
    <tableColumn name="RMSE" id="4"/>
    <tableColumn name="Pearson (Baseline × MP)" id="5"/>
    <tableColumn name="Pearson (GT × MP)" id="6"/>
    <tableColumn name="Status" id="7"/>
  </tableColumns>
  <tableStyleInfo name="L1-style 5" showColumnStripes="0" showFirstColumn="1" showLastColumn="1" showRowStripes="1"/>
</table>
</file>

<file path=xl/tables/table6.xml><?xml version="1.0" encoding="utf-8"?>
<table xmlns="http://schemas.openxmlformats.org/spreadsheetml/2006/main" ref="A3:G13" displayName="Tabela_2" name="Tabela_2" id="6">
  <tableColumns count="7">
    <tableColumn name="Caso de Teste" id="1"/>
    <tableColumn name="Transformação" id="2"/>
    <tableColumn name="Combustível" id="3"/>
    <tableColumn name="RMSE" id="4"/>
    <tableColumn name="Pearson (Baseline × MP)" id="5"/>
    <tableColumn name="Pearson (GT × MP)" id="6"/>
    <tableColumn name="Status" id="7"/>
  </tableColumns>
  <tableStyleInfo name="L2-style" showColumnStripes="0" showFirstColumn="1" showLastColumn="1" showRowStripes="1"/>
</table>
</file>

<file path=xl/tables/table7.xml><?xml version="1.0" encoding="utf-8"?>
<table xmlns="http://schemas.openxmlformats.org/spreadsheetml/2006/main" ref="A19:G23" displayName="Tabela_3" name="Tabela_3" id="7">
  <tableColumns count="7">
    <tableColumn name="Caso de Teste" id="1"/>
    <tableColumn name="Transformação" id="2"/>
    <tableColumn name="Combustível" id="3"/>
    <tableColumn name="RMSE" id="4"/>
    <tableColumn name="Pearson (Baseline × MP)" id="5"/>
    <tableColumn name="Pearson (GT × MP)" id="6"/>
    <tableColumn name="Status" id="7"/>
  </tableColumns>
  <tableStyleInfo name="L2-style 2" showColumnStripes="0" showFirstColumn="1" showLastColumn="1" showRowStripes="1"/>
</table>
</file>

<file path=xl/tables/table8.xml><?xml version="1.0" encoding="utf-8"?>
<table xmlns="http://schemas.openxmlformats.org/spreadsheetml/2006/main" ref="A29:G31" displayName="Tabela_4" name="Tabela_4" id="8">
  <tableColumns count="7">
    <tableColumn name="Caso de Teste" id="1"/>
    <tableColumn name="Transformação" id="2"/>
    <tableColumn name="Combustível" id="3"/>
    <tableColumn name="RMSE" id="4"/>
    <tableColumn name="Pearson (Baseline × MP)" id="5"/>
    <tableColumn name="Pearson (GT × MP)" id="6"/>
    <tableColumn name="Status" id="7"/>
  </tableColumns>
  <tableStyleInfo name="L2-style 3" showColumnStripes="0" showFirstColumn="1" showLastColumn="1" showRowStripes="1"/>
</table>
</file>

<file path=xl/tables/table9.xml><?xml version="1.0" encoding="utf-8"?>
<table xmlns="http://schemas.openxmlformats.org/spreadsheetml/2006/main" ref="A37:G47" displayName="Tabela_5" name="Tabela_5" id="9">
  <tableColumns count="7">
    <tableColumn name="Caso de Teste" id="1"/>
    <tableColumn name="Lag" id="2"/>
    <tableColumn name="Combustível" id="3"/>
    <tableColumn name="RMSE" id="4"/>
    <tableColumn name="Pearson (Baseline × MP)" id="5"/>
    <tableColumn name="Pearson (GT × MP)" id="6"/>
    <tableColumn name="Status" id="7"/>
  </tableColumns>
  <tableStyleInfo name="L2-style 4" showColumnStripes="0" showFirstColumn="1" showLastColumn="1" showRowStripes="1"/>
</table>
</file>

<file path=xl/tables/table10.xml><?xml version="1.0" encoding="utf-8"?>
<table xmlns="http://schemas.openxmlformats.org/spreadsheetml/2006/main" ref="A3:F5" displayName="Tabela_6" name="Tabela_6" id="10">
  <tableColumns count="6">
    <tableColumn name="Caso de Teste" id="1"/>
    <tableColumn name="Combustível" id="2"/>
    <tableColumn name="RMSE" id="3"/>
    <tableColumn name="Pearson (Baseline × MP)" id="4"/>
    <tableColumn name="Pearson (GT × MP)" id="5"/>
    <tableColumn name="Status" id="6"/>
  </tableColumns>
  <tableStyleInfo name="L3-style" showColumnStripes="0" showFirstColumn="1" showLastColumn="1" showRowStripes="1"/>
</table>
</file>

<file path=xl/tables/table11.xml><?xml version="1.0" encoding="utf-8"?>
<table xmlns="http://schemas.openxmlformats.org/spreadsheetml/2006/main" ref="A11:F13" displayName="Tabela_7" name="Tabela_7" id="11">
  <tableColumns count="6">
    <tableColumn name="Caso de Teste" id="1"/>
    <tableColumn name="Combustível" id="2"/>
    <tableColumn name="RMSE" id="3"/>
    <tableColumn name="Pearson (Baseline × MP)" id="4"/>
    <tableColumn name="Pearson (GT × MP)" id="5"/>
    <tableColumn name="Status" id="6"/>
  </tableColumns>
  <tableStyleInfo name="L3-style 2" showColumnStripes="0" showFirstColumn="1" showLastColumn="1" showRowStripes="1"/>
</table>
</file>

<file path=xl/tables/table12.xml><?xml version="1.0" encoding="utf-8"?>
<table xmlns="http://schemas.openxmlformats.org/spreadsheetml/2006/main" ref="A20:F22" displayName="Tabela_8" name="Tabela_8" id="12">
  <tableColumns count="6">
    <tableColumn name="Caso de Teste" id="1"/>
    <tableColumn name="Combustível" id="2"/>
    <tableColumn name="RMSE" id="3"/>
    <tableColumn name="Pearson (Baseline × MP)" id="4"/>
    <tableColumn name="Pearson (GT × MP)" id="5"/>
    <tableColumn name="Status" id="6"/>
  </tableColumns>
  <tableStyleInfo name="L3-style 3" showColumnStripes="0" showFirstColumn="1" showLastColumn="1" showRowStripes="1"/>
</table>
</file>

<file path=xl/tables/table13.xml><?xml version="1.0" encoding="utf-8"?>
<table xmlns="http://schemas.openxmlformats.org/spreadsheetml/2006/main" ref="A30:F32" displayName="Tabela_9" name="Tabela_9" id="13">
  <tableColumns count="6">
    <tableColumn name="Caso de Teste" id="1"/>
    <tableColumn name="Combustível" id="2"/>
    <tableColumn name="RMSE" id="3"/>
    <tableColumn name="Pearson (Baseline × MP)" id="4"/>
    <tableColumn name="Pearson (GT × MP)" id="5"/>
    <tableColumn name="Status" id="6"/>
  </tableColumns>
  <tableStyleInfo name="L3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3.0"/>
    <col customWidth="1" min="3" max="3" width="15.13"/>
    <col customWidth="1" min="4" max="4" width="27.88"/>
    <col customWidth="1" min="5" max="5" width="28.88"/>
    <col customWidth="1" min="6" max="6" width="24.63"/>
    <col customWidth="1" min="7" max="25" width="1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</v>
      </c>
      <c r="B3" s="2"/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4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8" t="s">
        <v>9</v>
      </c>
      <c r="B6" s="8" t="s">
        <v>10</v>
      </c>
      <c r="C6" s="9" t="s">
        <v>11</v>
      </c>
      <c r="D6" s="10">
        <v>0.49</v>
      </c>
      <c r="E6" s="10">
        <v>0.395</v>
      </c>
      <c r="F6" s="10">
        <v>0.406</v>
      </c>
      <c r="G6" s="11"/>
      <c r="H6" s="2"/>
      <c r="I6" s="1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8" t="s">
        <v>9</v>
      </c>
      <c r="B7" s="8" t="s">
        <v>10</v>
      </c>
      <c r="C7" s="9" t="s">
        <v>12</v>
      </c>
      <c r="D7" s="10">
        <v>0.8179</v>
      </c>
      <c r="E7" s="10">
        <v>0.639</v>
      </c>
      <c r="F7" s="10">
        <v>0.537</v>
      </c>
      <c r="G7" s="11"/>
      <c r="H7" s="2"/>
      <c r="I7" s="12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8" t="s">
        <v>13</v>
      </c>
      <c r="B8" s="8" t="s">
        <v>14</v>
      </c>
      <c r="C8" s="9" t="s">
        <v>11</v>
      </c>
      <c r="D8" s="10">
        <v>0.1847</v>
      </c>
      <c r="E8" s="10">
        <v>0.919</v>
      </c>
      <c r="F8" s="10">
        <v>0.779</v>
      </c>
      <c r="G8" s="11"/>
      <c r="H8" s="2"/>
      <c r="I8" s="3"/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8" t="s">
        <v>13</v>
      </c>
      <c r="B9" s="8" t="s">
        <v>14</v>
      </c>
      <c r="C9" s="9" t="s">
        <v>12</v>
      </c>
      <c r="D9" s="10">
        <v>0.2673</v>
      </c>
      <c r="E9" s="10">
        <v>0.941</v>
      </c>
      <c r="F9" s="10">
        <v>0.733</v>
      </c>
      <c r="G9" s="11"/>
      <c r="H9" s="2"/>
      <c r="I9" s="3"/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8" t="s">
        <v>15</v>
      </c>
      <c r="B10" s="8" t="s">
        <v>16</v>
      </c>
      <c r="C10" s="9" t="s">
        <v>11</v>
      </c>
      <c r="D10" s="10">
        <v>0.3941</v>
      </c>
      <c r="E10" s="10">
        <v>0.48</v>
      </c>
      <c r="F10" s="10">
        <v>0.458</v>
      </c>
      <c r="G10" s="11"/>
      <c r="H10" s="2"/>
      <c r="I10" s="3"/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8" t="s">
        <v>15</v>
      </c>
      <c r="B11" s="8" t="s">
        <v>16</v>
      </c>
      <c r="C11" s="9" t="s">
        <v>12</v>
      </c>
      <c r="D11" s="10">
        <v>1.0747</v>
      </c>
      <c r="E11" s="10">
        <v>0.03</v>
      </c>
      <c r="F11" s="10">
        <v>0.02</v>
      </c>
      <c r="G11" s="11"/>
      <c r="H11" s="2"/>
      <c r="I11" s="1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8" t="s">
        <v>17</v>
      </c>
      <c r="B12" s="8" t="s">
        <v>18</v>
      </c>
      <c r="C12" s="9" t="s">
        <v>11</v>
      </c>
      <c r="D12" s="10">
        <v>0.4241</v>
      </c>
      <c r="E12" s="10">
        <v>0.385</v>
      </c>
      <c r="F12" s="10">
        <v>0.351</v>
      </c>
      <c r="G12" s="11"/>
      <c r="H12" s="2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8" t="s">
        <v>17</v>
      </c>
      <c r="B13" s="8" t="s">
        <v>18</v>
      </c>
      <c r="C13" s="9" t="s">
        <v>12</v>
      </c>
      <c r="D13" s="10">
        <v>0.7443</v>
      </c>
      <c r="E13" s="10">
        <v>0.456</v>
      </c>
      <c r="F13" s="10">
        <v>0.398</v>
      </c>
      <c r="G13" s="11"/>
      <c r="H13" s="2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4" t="s">
        <v>2</v>
      </c>
      <c r="B21" s="4" t="s">
        <v>3</v>
      </c>
      <c r="C21" s="4" t="s">
        <v>4</v>
      </c>
      <c r="D21" s="4" t="s">
        <v>21</v>
      </c>
      <c r="E21" s="4" t="s">
        <v>6</v>
      </c>
      <c r="F21" s="4" t="s">
        <v>7</v>
      </c>
      <c r="G21" s="6" t="s">
        <v>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8" t="s">
        <v>22</v>
      </c>
      <c r="B22" s="8" t="s">
        <v>23</v>
      </c>
      <c r="C22" s="9" t="s">
        <v>11</v>
      </c>
      <c r="D22" s="13">
        <v>0.9639</v>
      </c>
      <c r="E22" s="13">
        <v>0.391</v>
      </c>
      <c r="F22" s="13">
        <v>0.347</v>
      </c>
      <c r="G22" s="11"/>
      <c r="H22" s="2"/>
      <c r="I22" s="3"/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8" t="s">
        <v>22</v>
      </c>
      <c r="B23" s="8" t="s">
        <v>23</v>
      </c>
      <c r="C23" s="9" t="s">
        <v>12</v>
      </c>
      <c r="D23" s="13">
        <v>1.2611</v>
      </c>
      <c r="E23" s="13">
        <v>0.493</v>
      </c>
      <c r="F23" s="13">
        <v>0.391</v>
      </c>
      <c r="G23" s="11"/>
      <c r="H23" s="2"/>
      <c r="I23" s="14"/>
      <c r="J23" s="3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8" t="s">
        <v>24</v>
      </c>
      <c r="B24" s="8" t="s">
        <v>25</v>
      </c>
      <c r="C24" s="9" t="s">
        <v>11</v>
      </c>
      <c r="D24" s="13">
        <v>0.1949</v>
      </c>
      <c r="E24" s="13">
        <v>0.9</v>
      </c>
      <c r="F24" s="13">
        <v>0.752</v>
      </c>
      <c r="G24" s="11"/>
      <c r="H24" s="2"/>
      <c r="I24" s="3"/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8" t="s">
        <v>24</v>
      </c>
      <c r="B25" s="8" t="s">
        <v>25</v>
      </c>
      <c r="C25" s="9" t="s">
        <v>12</v>
      </c>
      <c r="D25" s="13">
        <v>0.3328</v>
      </c>
      <c r="E25" s="13">
        <v>0.906</v>
      </c>
      <c r="F25" s="13">
        <v>0.712</v>
      </c>
      <c r="G25" s="11"/>
      <c r="H25" s="2"/>
      <c r="I25" s="3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8" t="s">
        <v>26</v>
      </c>
      <c r="B26" s="8" t="s">
        <v>27</v>
      </c>
      <c r="C26" s="9" t="s">
        <v>11</v>
      </c>
      <c r="D26" s="13">
        <v>0.3941</v>
      </c>
      <c r="E26" s="13">
        <v>0.48</v>
      </c>
      <c r="F26" s="13">
        <v>0.458</v>
      </c>
      <c r="G26" s="11"/>
      <c r="H26" s="2"/>
      <c r="I26" s="3"/>
      <c r="J26" s="3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8" t="s">
        <v>26</v>
      </c>
      <c r="B27" s="8" t="s">
        <v>27</v>
      </c>
      <c r="C27" s="9" t="s">
        <v>12</v>
      </c>
      <c r="D27" s="13">
        <v>1.0747</v>
      </c>
      <c r="E27" s="13">
        <v>0.03</v>
      </c>
      <c r="F27" s="13">
        <v>0.02</v>
      </c>
      <c r="G27" s="11"/>
      <c r="H27" s="2"/>
      <c r="I27" s="14"/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8" t="s">
        <v>28</v>
      </c>
      <c r="B28" s="8" t="s">
        <v>29</v>
      </c>
      <c r="C28" s="9" t="s">
        <v>11</v>
      </c>
      <c r="D28" s="13">
        <v>0.4241</v>
      </c>
      <c r="E28" s="13">
        <v>0.385</v>
      </c>
      <c r="F28" s="13">
        <v>0.351</v>
      </c>
      <c r="G28" s="11"/>
      <c r="H28" s="2"/>
      <c r="I28" s="3"/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8" t="s">
        <v>28</v>
      </c>
      <c r="B29" s="8" t="s">
        <v>29</v>
      </c>
      <c r="C29" s="9" t="s">
        <v>12</v>
      </c>
      <c r="D29" s="13">
        <v>0.7443</v>
      </c>
      <c r="E29" s="13">
        <v>0.456</v>
      </c>
      <c r="F29" s="13">
        <v>0.398</v>
      </c>
      <c r="G29" s="11"/>
      <c r="H29" s="2"/>
      <c r="I29" s="3"/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5"/>
      <c r="B37" s="15"/>
      <c r="C37" s="15"/>
      <c r="D37" s="15"/>
      <c r="E37" s="15"/>
      <c r="F37" s="15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4" t="s">
        <v>2</v>
      </c>
      <c r="B38" s="4" t="s">
        <v>32</v>
      </c>
      <c r="C38" s="4" t="s">
        <v>4</v>
      </c>
      <c r="D38" s="4" t="s">
        <v>21</v>
      </c>
      <c r="E38" s="4" t="s">
        <v>6</v>
      </c>
      <c r="F38" s="4" t="s">
        <v>7</v>
      </c>
      <c r="G38" s="6" t="s">
        <v>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8" t="s">
        <v>33</v>
      </c>
      <c r="B39" s="8" t="s">
        <v>34</v>
      </c>
      <c r="C39" s="8" t="s">
        <v>11</v>
      </c>
      <c r="D39" s="13">
        <v>0.287</v>
      </c>
      <c r="E39" s="13">
        <v>0.777</v>
      </c>
      <c r="F39" s="13">
        <v>0.625</v>
      </c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2.5" customHeight="1">
      <c r="A40" s="8" t="s">
        <v>33</v>
      </c>
      <c r="B40" s="8" t="s">
        <v>34</v>
      </c>
      <c r="C40" s="8" t="s">
        <v>12</v>
      </c>
      <c r="D40" s="13">
        <v>0.4046</v>
      </c>
      <c r="E40" s="13">
        <v>0.853</v>
      </c>
      <c r="F40" s="13">
        <v>0.676</v>
      </c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8" t="s">
        <v>35</v>
      </c>
      <c r="B41" s="8" t="s">
        <v>36</v>
      </c>
      <c r="C41" s="8" t="s">
        <v>11</v>
      </c>
      <c r="D41" s="13">
        <v>0.4265</v>
      </c>
      <c r="E41" s="13">
        <v>0.488</v>
      </c>
      <c r="F41" s="13">
        <v>0.391</v>
      </c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8" t="s">
        <v>35</v>
      </c>
      <c r="B42" s="8" t="s">
        <v>36</v>
      </c>
      <c r="C42" s="8" t="s">
        <v>12</v>
      </c>
      <c r="D42" s="13">
        <v>0.5931</v>
      </c>
      <c r="E42" s="13">
        <v>0.69</v>
      </c>
      <c r="F42" s="13">
        <v>0.547</v>
      </c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8" t="s">
        <v>37</v>
      </c>
      <c r="B43" s="8" t="s">
        <v>38</v>
      </c>
      <c r="C43" s="8" t="s">
        <v>11</v>
      </c>
      <c r="D43" s="13">
        <v>0.4105</v>
      </c>
      <c r="E43" s="13">
        <v>0.573</v>
      </c>
      <c r="F43" s="13">
        <v>0.5</v>
      </c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8" t="s">
        <v>37</v>
      </c>
      <c r="B44" s="8" t="s">
        <v>38</v>
      </c>
      <c r="C44" s="8" t="s">
        <v>12</v>
      </c>
      <c r="D44" s="13">
        <v>0.7877</v>
      </c>
      <c r="E44" s="13">
        <v>0.534</v>
      </c>
      <c r="F44" s="13">
        <v>0.416</v>
      </c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">
        <v>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2.5" customHeight="1">
      <c r="A51" s="4" t="s">
        <v>2</v>
      </c>
      <c r="B51" s="4" t="s">
        <v>3</v>
      </c>
      <c r="C51" s="4" t="s">
        <v>4</v>
      </c>
      <c r="D51" s="4" t="s">
        <v>21</v>
      </c>
      <c r="E51" s="4" t="s">
        <v>6</v>
      </c>
      <c r="F51" s="4" t="s">
        <v>7</v>
      </c>
      <c r="G51" s="6" t="s">
        <v>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2.5" customHeight="1">
      <c r="A52" s="8" t="s">
        <v>41</v>
      </c>
      <c r="B52" s="8" t="s">
        <v>42</v>
      </c>
      <c r="C52" s="9" t="s">
        <v>11</v>
      </c>
      <c r="D52" s="13">
        <v>0.6804</v>
      </c>
      <c r="E52" s="13">
        <v>0.673</v>
      </c>
      <c r="F52" s="13">
        <v>0.575</v>
      </c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2.5" customHeight="1">
      <c r="A53" s="8" t="s">
        <v>41</v>
      </c>
      <c r="B53" s="8" t="s">
        <v>42</v>
      </c>
      <c r="C53" s="9" t="s">
        <v>12</v>
      </c>
      <c r="D53" s="13">
        <v>0.6509</v>
      </c>
      <c r="E53" s="13">
        <v>0.827</v>
      </c>
      <c r="F53" s="13">
        <v>0.68</v>
      </c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2.5" customHeight="1">
      <c r="A54" s="8" t="s">
        <v>43</v>
      </c>
      <c r="B54" s="8" t="s">
        <v>44</v>
      </c>
      <c r="C54" s="9" t="s">
        <v>11</v>
      </c>
      <c r="D54" s="13">
        <v>0.4663</v>
      </c>
      <c r="E54" s="13">
        <v>0.795</v>
      </c>
      <c r="F54" s="13">
        <v>0.78</v>
      </c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2.5" customHeight="1">
      <c r="A55" s="8" t="s">
        <v>43</v>
      </c>
      <c r="B55" s="8" t="s">
        <v>44</v>
      </c>
      <c r="C55" s="9" t="s">
        <v>12</v>
      </c>
      <c r="D55" s="13">
        <v>0.7408</v>
      </c>
      <c r="E55" s="13">
        <v>0.833</v>
      </c>
      <c r="F55" s="13">
        <v>0.778</v>
      </c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2.5" customHeight="1">
      <c r="A56" s="8" t="s">
        <v>45</v>
      </c>
      <c r="B56" s="8" t="s">
        <v>46</v>
      </c>
      <c r="C56" s="9" t="s">
        <v>11</v>
      </c>
      <c r="D56" s="13">
        <v>0.4562</v>
      </c>
      <c r="E56" s="13">
        <v>0.607</v>
      </c>
      <c r="F56" s="13">
        <v>0.528</v>
      </c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2.5" customHeight="1">
      <c r="A57" s="8" t="s">
        <v>45</v>
      </c>
      <c r="B57" s="8" t="s">
        <v>46</v>
      </c>
      <c r="C57" s="9" t="s">
        <v>12</v>
      </c>
      <c r="D57" s="13">
        <v>0.7673</v>
      </c>
      <c r="E57" s="13">
        <v>0.486</v>
      </c>
      <c r="F57" s="13">
        <v>0.396</v>
      </c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2.5" customHeight="1">
      <c r="A58" s="8" t="s">
        <v>47</v>
      </c>
      <c r="B58" s="8" t="s">
        <v>48</v>
      </c>
      <c r="C58" s="9" t="s">
        <v>11</v>
      </c>
      <c r="D58" s="13">
        <v>0.6111</v>
      </c>
      <c r="E58" s="13">
        <v>0.375</v>
      </c>
      <c r="F58" s="13">
        <v>0.334</v>
      </c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2.5" customHeight="1">
      <c r="A59" s="8" t="s">
        <v>47</v>
      </c>
      <c r="B59" s="8" t="s">
        <v>48</v>
      </c>
      <c r="C59" s="9" t="s">
        <v>12</v>
      </c>
      <c r="D59" s="13">
        <v>0.9966</v>
      </c>
      <c r="E59" s="13">
        <v>0.478</v>
      </c>
      <c r="F59" s="13">
        <v>0.39</v>
      </c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">
        <v>49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">
        <v>50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2.5" customHeight="1">
      <c r="A67" s="4" t="s">
        <v>2</v>
      </c>
      <c r="B67" s="4" t="s">
        <v>3</v>
      </c>
      <c r="C67" s="4" t="s">
        <v>4</v>
      </c>
      <c r="D67" s="4" t="s">
        <v>21</v>
      </c>
      <c r="E67" s="4" t="s">
        <v>6</v>
      </c>
      <c r="F67" s="4" t="s">
        <v>7</v>
      </c>
      <c r="G67" s="6" t="s">
        <v>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2.5" customHeight="1">
      <c r="A68" s="8" t="s">
        <v>51</v>
      </c>
      <c r="B68" s="8" t="s">
        <v>52</v>
      </c>
      <c r="C68" s="9" t="s">
        <v>11</v>
      </c>
      <c r="D68" s="13">
        <v>0.0565</v>
      </c>
      <c r="E68" s="13">
        <v>0.992</v>
      </c>
      <c r="F68" s="13">
        <v>0.815</v>
      </c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2.5" customHeight="1">
      <c r="A69" s="8" t="s">
        <v>51</v>
      </c>
      <c r="B69" s="8" t="s">
        <v>52</v>
      </c>
      <c r="C69" s="9" t="s">
        <v>12</v>
      </c>
      <c r="D69" s="13">
        <v>0.067</v>
      </c>
      <c r="E69" s="13">
        <v>0.996</v>
      </c>
      <c r="F69" s="13">
        <v>0.805</v>
      </c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2.5" customHeight="1">
      <c r="A70" s="8" t="s">
        <v>53</v>
      </c>
      <c r="B70" s="8" t="s">
        <v>54</v>
      </c>
      <c r="C70" s="9" t="s">
        <v>11</v>
      </c>
      <c r="D70" s="13">
        <v>0.1705</v>
      </c>
      <c r="E70" s="13">
        <v>0.928</v>
      </c>
      <c r="F70" s="13">
        <v>0.786</v>
      </c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2.5" customHeight="1">
      <c r="A71" s="8" t="s">
        <v>53</v>
      </c>
      <c r="B71" s="8" t="s">
        <v>54</v>
      </c>
      <c r="C71" s="9" t="s">
        <v>12</v>
      </c>
      <c r="D71" s="13">
        <v>0.2342</v>
      </c>
      <c r="E71" s="13">
        <v>0.955</v>
      </c>
      <c r="F71" s="13">
        <v>0.78</v>
      </c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2.5" customHeight="1">
      <c r="A72" s="8" t="s">
        <v>55</v>
      </c>
      <c r="B72" s="8" t="s">
        <v>56</v>
      </c>
      <c r="C72" s="9" t="s">
        <v>11</v>
      </c>
      <c r="D72" s="13">
        <v>0.4291</v>
      </c>
      <c r="E72" s="13">
        <v>0.506</v>
      </c>
      <c r="F72" s="13">
        <v>0.451</v>
      </c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2.5" customHeight="1">
      <c r="A73" s="8" t="s">
        <v>55</v>
      </c>
      <c r="B73" s="8" t="s">
        <v>56</v>
      </c>
      <c r="C73" s="9" t="s">
        <v>12</v>
      </c>
      <c r="D73" s="13">
        <v>0.936</v>
      </c>
      <c r="E73" s="13">
        <v>0.253</v>
      </c>
      <c r="F73" s="13">
        <v>0.194</v>
      </c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2.5" customHeight="1">
      <c r="A74" s="8" t="s">
        <v>57</v>
      </c>
      <c r="B74" s="8" t="s">
        <v>58</v>
      </c>
      <c r="C74" s="9" t="s">
        <v>11</v>
      </c>
      <c r="D74" s="13">
        <v>0.5078</v>
      </c>
      <c r="E74" s="13">
        <v>0.34</v>
      </c>
      <c r="F74" s="13">
        <v>0.302</v>
      </c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2.5" customHeight="1">
      <c r="A75" s="8" t="s">
        <v>57</v>
      </c>
      <c r="B75" s="8" t="s">
        <v>58</v>
      </c>
      <c r="C75" s="9" t="s">
        <v>12</v>
      </c>
      <c r="D75" s="13">
        <v>0.8754</v>
      </c>
      <c r="E75" s="13">
        <v>0.432</v>
      </c>
      <c r="F75" s="13">
        <v>0.341</v>
      </c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DropDown="1" showErrorMessage="1" sqref="C52:C59">
      <formula1>"Module 1,Module 2"</formula1>
    </dataValidation>
    <dataValidation type="list" allowBlank="1" showDropDown="1" showErrorMessage="1" sqref="C22:C29 C68:C75">
      <formula1>"Module 1,Module 2"</formula1>
    </dataValidation>
    <dataValidation type="list" allowBlank="1" showDropDown="1" showErrorMessage="1" sqref="C6:C13">
      <formula1>"Module 1,Module 2"</formula1>
    </dataValidation>
    <dataValidation type="custom" allowBlank="1" showDropDown="1" sqref="D6:F13 D22:F29 D39:F44 D52:F59 D68:F75">
      <formula1>AND(ISNUMBER(D6),(NOT(OR(NOT(ISERROR(DATEVALUE(D6))), AND(ISNUMBER(D6), LEFT(CELL("format", D6))="D")))))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0"/>
    <col customWidth="1" min="3" max="3" width="19.0"/>
    <col customWidth="1" min="4" max="4" width="14.25"/>
    <col customWidth="1" min="5" max="5" width="28.88"/>
    <col customWidth="1" min="6" max="6" width="24.63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/>
      <c r="B2" s="15"/>
      <c r="C2" s="15"/>
      <c r="D2" s="15"/>
      <c r="E2" s="15"/>
      <c r="F2" s="15"/>
      <c r="G2" s="1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2</v>
      </c>
      <c r="B3" s="4" t="s">
        <v>32</v>
      </c>
      <c r="C3" s="4" t="s">
        <v>60</v>
      </c>
      <c r="D3" s="4" t="s">
        <v>21</v>
      </c>
      <c r="E3" s="4" t="s">
        <v>6</v>
      </c>
      <c r="F3" s="4" t="s">
        <v>7</v>
      </c>
      <c r="G3" s="4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6" t="s">
        <v>61</v>
      </c>
      <c r="B4" s="16" t="s">
        <v>62</v>
      </c>
      <c r="C4" s="17" t="s">
        <v>63</v>
      </c>
      <c r="D4" s="18">
        <v>0.6804</v>
      </c>
      <c r="E4" s="18">
        <v>0.673</v>
      </c>
      <c r="F4" s="18">
        <v>0.575</v>
      </c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6" t="s">
        <v>61</v>
      </c>
      <c r="B5" s="16" t="s">
        <v>62</v>
      </c>
      <c r="C5" s="17" t="s">
        <v>64</v>
      </c>
      <c r="D5" s="18">
        <v>0.6509</v>
      </c>
      <c r="E5" s="18">
        <v>0.827</v>
      </c>
      <c r="F5" s="18">
        <v>0.68</v>
      </c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6" t="s">
        <v>65</v>
      </c>
      <c r="B6" s="16" t="s">
        <v>66</v>
      </c>
      <c r="C6" s="17" t="s">
        <v>63</v>
      </c>
      <c r="D6" s="18">
        <v>0.6885</v>
      </c>
      <c r="E6" s="18">
        <v>0.669</v>
      </c>
      <c r="F6" s="18">
        <v>0.571</v>
      </c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6" t="s">
        <v>65</v>
      </c>
      <c r="B7" s="16" t="s">
        <v>66</v>
      </c>
      <c r="C7" s="17" t="s">
        <v>64</v>
      </c>
      <c r="D7" s="18">
        <v>0.6519</v>
      </c>
      <c r="E7" s="18">
        <v>0.827</v>
      </c>
      <c r="F7" s="18">
        <v>0.681</v>
      </c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6" t="s">
        <v>67</v>
      </c>
      <c r="B8" s="16" t="s">
        <v>68</v>
      </c>
      <c r="C8" s="17" t="s">
        <v>63</v>
      </c>
      <c r="D8" s="18">
        <v>0.7584</v>
      </c>
      <c r="E8" s="18">
        <v>0.73</v>
      </c>
      <c r="F8" s="18">
        <v>0.701</v>
      </c>
      <c r="G8" s="1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6" t="s">
        <v>67</v>
      </c>
      <c r="B9" s="16" t="s">
        <v>68</v>
      </c>
      <c r="C9" s="17" t="s">
        <v>64</v>
      </c>
      <c r="D9" s="18">
        <v>1.237</v>
      </c>
      <c r="E9" s="18">
        <v>0.788</v>
      </c>
      <c r="F9" s="18">
        <v>0.751</v>
      </c>
      <c r="G9" s="1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16" t="s">
        <v>69</v>
      </c>
      <c r="B10" s="16" t="s">
        <v>70</v>
      </c>
      <c r="C10" s="17" t="s">
        <v>63</v>
      </c>
      <c r="D10" s="18">
        <v>0.7969</v>
      </c>
      <c r="E10" s="18">
        <v>0.71</v>
      </c>
      <c r="F10" s="18">
        <v>0.665</v>
      </c>
      <c r="G10" s="1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6" t="s">
        <v>69</v>
      </c>
      <c r="B11" s="16" t="s">
        <v>70</v>
      </c>
      <c r="C11" s="17" t="s">
        <v>64</v>
      </c>
      <c r="D11" s="18">
        <v>1.3692</v>
      </c>
      <c r="E11" s="18">
        <v>0.759</v>
      </c>
      <c r="F11" s="18">
        <v>0.711</v>
      </c>
      <c r="G11" s="1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6" t="s">
        <v>71</v>
      </c>
      <c r="B12" s="16" t="s">
        <v>72</v>
      </c>
      <c r="C12" s="17" t="s">
        <v>63</v>
      </c>
      <c r="D12" s="18">
        <v>0.7767</v>
      </c>
      <c r="E12" s="18">
        <v>0.707</v>
      </c>
      <c r="F12" s="18">
        <v>0.649</v>
      </c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6" t="s">
        <v>71</v>
      </c>
      <c r="B13" s="16" t="s">
        <v>72</v>
      </c>
      <c r="C13" s="17" t="s">
        <v>64</v>
      </c>
      <c r="D13" s="18">
        <v>1.2955</v>
      </c>
      <c r="E13" s="18">
        <v>0.763</v>
      </c>
      <c r="F13" s="18">
        <v>0.712</v>
      </c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5"/>
      <c r="D18" s="15"/>
      <c r="E18" s="15"/>
      <c r="F18" s="15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4" t="s">
        <v>2</v>
      </c>
      <c r="B19" s="4" t="s">
        <v>32</v>
      </c>
      <c r="C19" s="4" t="s">
        <v>60</v>
      </c>
      <c r="D19" s="4" t="s">
        <v>21</v>
      </c>
      <c r="E19" s="4" t="s">
        <v>6</v>
      </c>
      <c r="F19" s="4" t="s">
        <v>7</v>
      </c>
      <c r="G19" s="6" t="s">
        <v>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6" t="s">
        <v>74</v>
      </c>
      <c r="B20" s="16" t="s">
        <v>75</v>
      </c>
      <c r="C20" s="16" t="s">
        <v>63</v>
      </c>
      <c r="D20" s="16">
        <v>0.436</v>
      </c>
      <c r="E20" s="16">
        <v>0.282</v>
      </c>
      <c r="F20" s="16">
        <v>0.231</v>
      </c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16" t="s">
        <v>74</v>
      </c>
      <c r="B21" s="16" t="s">
        <v>75</v>
      </c>
      <c r="C21" s="16" t="s">
        <v>64</v>
      </c>
      <c r="D21" s="16">
        <v>0.792</v>
      </c>
      <c r="E21" s="16">
        <v>0.364</v>
      </c>
      <c r="F21" s="16">
        <v>0.293</v>
      </c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16" t="s">
        <v>76</v>
      </c>
      <c r="B22" s="16" t="s">
        <v>77</v>
      </c>
      <c r="C22" s="16" t="s">
        <v>63</v>
      </c>
      <c r="D22" s="16">
        <v>0.436</v>
      </c>
      <c r="E22" s="16">
        <v>0.282</v>
      </c>
      <c r="F22" s="16">
        <v>0.231</v>
      </c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16" t="s">
        <v>76</v>
      </c>
      <c r="B23" s="16" t="s">
        <v>77</v>
      </c>
      <c r="C23" s="16" t="s">
        <v>64</v>
      </c>
      <c r="D23" s="16">
        <v>0.792</v>
      </c>
      <c r="E23" s="16">
        <v>0.364</v>
      </c>
      <c r="F23" s="16">
        <v>0.293</v>
      </c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/>
      <c r="B28" s="15"/>
      <c r="C28" s="15"/>
      <c r="D28" s="15"/>
      <c r="E28" s="15"/>
      <c r="F28" s="15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4" t="s">
        <v>2</v>
      </c>
      <c r="B29" s="4" t="s">
        <v>32</v>
      </c>
      <c r="C29" s="4" t="s">
        <v>60</v>
      </c>
      <c r="D29" s="4" t="s">
        <v>21</v>
      </c>
      <c r="E29" s="4" t="s">
        <v>6</v>
      </c>
      <c r="F29" s="4" t="s">
        <v>7</v>
      </c>
      <c r="G29" s="6" t="s">
        <v>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16" t="s">
        <v>79</v>
      </c>
      <c r="B30" s="16" t="s">
        <v>80</v>
      </c>
      <c r="C30" s="16" t="s">
        <v>63</v>
      </c>
      <c r="D30" s="16">
        <v>0.3569</v>
      </c>
      <c r="E30" s="16">
        <v>0.635</v>
      </c>
      <c r="F30" s="16">
        <v>0.446</v>
      </c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16" t="s">
        <v>79</v>
      </c>
      <c r="B31" s="16" t="s">
        <v>80</v>
      </c>
      <c r="C31" s="16" t="s">
        <v>64</v>
      </c>
      <c r="D31" s="16">
        <v>0.5916</v>
      </c>
      <c r="E31" s="16">
        <v>0.66</v>
      </c>
      <c r="F31" s="16">
        <v>0.443</v>
      </c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81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5"/>
      <c r="C36" s="15"/>
      <c r="D36" s="15"/>
      <c r="E36" s="15"/>
      <c r="F36" s="15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4" t="s">
        <v>2</v>
      </c>
      <c r="B37" s="4" t="s">
        <v>82</v>
      </c>
      <c r="C37" s="4" t="s">
        <v>60</v>
      </c>
      <c r="D37" s="4" t="s">
        <v>21</v>
      </c>
      <c r="E37" s="4" t="s">
        <v>6</v>
      </c>
      <c r="F37" s="4" t="s">
        <v>7</v>
      </c>
      <c r="G37" s="6" t="s">
        <v>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16" t="s">
        <v>83</v>
      </c>
      <c r="B38" s="18">
        <v>1.0</v>
      </c>
      <c r="C38" s="17" t="s">
        <v>63</v>
      </c>
      <c r="D38" s="18">
        <v>0.1062</v>
      </c>
      <c r="E38" s="18">
        <v>0.971</v>
      </c>
      <c r="F38" s="18">
        <v>0.81</v>
      </c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16" t="s">
        <v>83</v>
      </c>
      <c r="B39" s="18">
        <v>1.0</v>
      </c>
      <c r="C39" s="17" t="s">
        <v>64</v>
      </c>
      <c r="D39" s="18">
        <v>0.1331</v>
      </c>
      <c r="E39" s="18">
        <v>0.985</v>
      </c>
      <c r="F39" s="18">
        <v>0.795</v>
      </c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16" t="s">
        <v>84</v>
      </c>
      <c r="B40" s="18">
        <v>5.0</v>
      </c>
      <c r="C40" s="17" t="s">
        <v>63</v>
      </c>
      <c r="D40" s="18">
        <v>0.2196</v>
      </c>
      <c r="E40" s="18">
        <v>0.873</v>
      </c>
      <c r="F40" s="18">
        <v>0.719</v>
      </c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16" t="s">
        <v>84</v>
      </c>
      <c r="B41" s="18">
        <v>5.0</v>
      </c>
      <c r="C41" s="17" t="s">
        <v>64</v>
      </c>
      <c r="D41" s="18">
        <v>0.3173</v>
      </c>
      <c r="E41" s="18">
        <v>0.911</v>
      </c>
      <c r="F41" s="18">
        <v>0.735</v>
      </c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16" t="s">
        <v>85</v>
      </c>
      <c r="B42" s="18">
        <v>10.0</v>
      </c>
      <c r="C42" s="17" t="s">
        <v>63</v>
      </c>
      <c r="D42" s="18">
        <v>0.287</v>
      </c>
      <c r="E42" s="18">
        <v>0.777</v>
      </c>
      <c r="F42" s="18">
        <v>0.625</v>
      </c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16" t="s">
        <v>85</v>
      </c>
      <c r="B43" s="18">
        <v>10.0</v>
      </c>
      <c r="C43" s="17" t="s">
        <v>64</v>
      </c>
      <c r="D43" s="18">
        <v>0.4046</v>
      </c>
      <c r="E43" s="18">
        <v>0.853</v>
      </c>
      <c r="F43" s="18">
        <v>0.676</v>
      </c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16" t="s">
        <v>86</v>
      </c>
      <c r="B44" s="18">
        <v>25.0</v>
      </c>
      <c r="C44" s="17" t="s">
        <v>63</v>
      </c>
      <c r="D44" s="18">
        <v>0.3559</v>
      </c>
      <c r="E44" s="18">
        <v>0.645</v>
      </c>
      <c r="F44" s="18">
        <v>0.502</v>
      </c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16" t="s">
        <v>86</v>
      </c>
      <c r="B45" s="18">
        <v>25.0</v>
      </c>
      <c r="C45" s="17" t="s">
        <v>64</v>
      </c>
      <c r="D45" s="18">
        <v>0.5248</v>
      </c>
      <c r="E45" s="18">
        <v>0.753</v>
      </c>
      <c r="F45" s="18">
        <v>0.587</v>
      </c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16" t="s">
        <v>87</v>
      </c>
      <c r="B46" s="18">
        <v>50.0</v>
      </c>
      <c r="C46" s="17" t="s">
        <v>63</v>
      </c>
      <c r="D46" s="18">
        <v>0.4265</v>
      </c>
      <c r="E46" s="18">
        <v>0.488</v>
      </c>
      <c r="F46" s="18">
        <v>0.391</v>
      </c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16" t="s">
        <v>87</v>
      </c>
      <c r="B47" s="18">
        <v>50.0</v>
      </c>
      <c r="C47" s="17" t="s">
        <v>64</v>
      </c>
      <c r="D47" s="18">
        <v>0.5931</v>
      </c>
      <c r="E47" s="18">
        <v>0.69</v>
      </c>
      <c r="F47" s="18">
        <v>0.547</v>
      </c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DropDown="1" showErrorMessage="1" sqref="C4:C13">
      <formula1>"Ethanol,Gasoline"</formula1>
    </dataValidation>
    <dataValidation type="list" allowBlank="1" showDropDown="1" showErrorMessage="1" sqref="C38:C47">
      <formula1>"Ethanol,Gasoline"</formula1>
    </dataValidation>
    <dataValidation type="custom" allowBlank="1" showDropDown="1" sqref="D4:F13 B38:B47 D38:F47">
      <formula1>AND(ISNUMBER(B4),(NOT(OR(NOT(ISERROR(DATEVALUE(B4))), AND(ISNUMBER(B4), LEFT(CELL("format", B4))="D")))))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5.75"/>
    <col customWidth="1" min="4" max="4" width="25.63"/>
    <col customWidth="1" min="5" max="5" width="21.38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/>
      <c r="B2" s="15"/>
      <c r="C2" s="15"/>
      <c r="D2" s="15"/>
      <c r="E2" s="15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2</v>
      </c>
      <c r="B3" s="4" t="s">
        <v>60</v>
      </c>
      <c r="C3" s="4" t="s">
        <v>21</v>
      </c>
      <c r="D3" s="4" t="s">
        <v>6</v>
      </c>
      <c r="E3" s="4" t="s">
        <v>7</v>
      </c>
      <c r="F3" s="6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6" t="s">
        <v>89</v>
      </c>
      <c r="B4" s="16" t="s">
        <v>63</v>
      </c>
      <c r="C4" s="16">
        <v>0.5474</v>
      </c>
      <c r="D4" s="16">
        <v>0.471</v>
      </c>
      <c r="E4" s="16">
        <v>0.373</v>
      </c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6" t="s">
        <v>89</v>
      </c>
      <c r="B5" s="16" t="s">
        <v>64</v>
      </c>
      <c r="C5" s="16">
        <v>0.9451</v>
      </c>
      <c r="D5" s="16">
        <v>0.55</v>
      </c>
      <c r="E5" s="16">
        <v>0.412</v>
      </c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5"/>
      <c r="C10" s="15"/>
      <c r="D10" s="15"/>
      <c r="E10" s="15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4" t="s">
        <v>2</v>
      </c>
      <c r="B11" s="4" t="s">
        <v>60</v>
      </c>
      <c r="C11" s="4" t="s">
        <v>21</v>
      </c>
      <c r="D11" s="4" t="s">
        <v>6</v>
      </c>
      <c r="E11" s="4" t="s">
        <v>7</v>
      </c>
      <c r="F11" s="6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6" t="s">
        <v>91</v>
      </c>
      <c r="B12" s="16" t="s">
        <v>63</v>
      </c>
      <c r="C12" s="16">
        <v>0.9333</v>
      </c>
      <c r="D12" s="16">
        <v>0.174</v>
      </c>
      <c r="E12" s="16">
        <v>0.14</v>
      </c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6" t="s">
        <v>91</v>
      </c>
      <c r="B13" s="16" t="s">
        <v>64</v>
      </c>
      <c r="C13" s="16">
        <v>0.7613</v>
      </c>
      <c r="D13" s="16">
        <v>0.489</v>
      </c>
      <c r="E13" s="16">
        <v>0.362</v>
      </c>
      <c r="F13" s="1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92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/>
      <c r="D19" s="15"/>
      <c r="E19" s="15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4" t="s">
        <v>2</v>
      </c>
      <c r="B20" s="4" t="s">
        <v>60</v>
      </c>
      <c r="C20" s="4" t="s">
        <v>21</v>
      </c>
      <c r="D20" s="4" t="s">
        <v>6</v>
      </c>
      <c r="E20" s="4" t="s">
        <v>7</v>
      </c>
      <c r="F20" s="6" t="s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16" t="s">
        <v>93</v>
      </c>
      <c r="B21" s="16" t="s">
        <v>63</v>
      </c>
      <c r="C21" s="16">
        <v>0.5575</v>
      </c>
      <c r="D21" s="16">
        <v>0.284</v>
      </c>
      <c r="E21" s="16">
        <v>0.23</v>
      </c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16" t="s">
        <v>93</v>
      </c>
      <c r="B22" s="16" t="s">
        <v>64</v>
      </c>
      <c r="C22" s="16">
        <v>0.9072</v>
      </c>
      <c r="D22" s="16">
        <v>0.583</v>
      </c>
      <c r="E22" s="16">
        <v>0.452</v>
      </c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/>
      <c r="B29" s="15"/>
      <c r="C29" s="15"/>
      <c r="D29" s="15"/>
      <c r="E29" s="15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4" t="s">
        <v>2</v>
      </c>
      <c r="B30" s="4" t="s">
        <v>60</v>
      </c>
      <c r="C30" s="4" t="s">
        <v>21</v>
      </c>
      <c r="D30" s="4" t="s">
        <v>6</v>
      </c>
      <c r="E30" s="4" t="s">
        <v>7</v>
      </c>
      <c r="F30" s="6" t="s">
        <v>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16" t="s">
        <v>95</v>
      </c>
      <c r="B31" s="16" t="s">
        <v>63</v>
      </c>
      <c r="C31" s="16">
        <v>0.9879</v>
      </c>
      <c r="D31" s="16">
        <v>0.338</v>
      </c>
      <c r="E31" s="16">
        <v>0.305</v>
      </c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16" t="s">
        <v>95</v>
      </c>
      <c r="B32" s="16" t="s">
        <v>64</v>
      </c>
      <c r="C32" s="16">
        <v>1.0376</v>
      </c>
      <c r="D32" s="16">
        <v>0.544</v>
      </c>
      <c r="E32" s="16">
        <v>0.409</v>
      </c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  <tableParts count="4">
    <tablePart r:id="rId6"/>
    <tablePart r:id="rId7"/>
    <tablePart r:id="rId8"/>
    <tablePart r:id="rId9"/>
  </tableParts>
</worksheet>
</file>
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" sheetId="1" r:id="rId5"/>
    <sheet state="visible" name="L2" sheetId="2" r:id="rId6"/>
    <sheet state="visible" name="L3" sheetId="3" r:id="rId7"/>
    <sheet state="visible" name="Agregate Data" sheetId="4" r:id="rId8"/>
    <sheet state="visible" name="RMs" sheetId="5" r:id="rId9"/>
  </sheets>
  <definedNames/>
  <calcPr/>
</workbook>
</file>

<file path=xl/sharedStrings.xml><?xml version="1.0" encoding="utf-8"?>
<sst xmlns="http://schemas.openxmlformats.org/spreadsheetml/2006/main" count="471" uniqueCount="196">
  <si>
    <t>📊 Level 1 — Scenario 1A</t>
  </si>
  <si>
    <t>Exclusive Relation — Assignment of Zero</t>
  </si>
  <si>
    <t>Test case</t>
  </si>
  <si>
    <t>Variable</t>
  </si>
  <si>
    <t>Module</t>
  </si>
  <si>
    <t>RMSE (Baseline × MP)</t>
  </si>
  <si>
    <t>Pearson (Baseline × MP)</t>
  </si>
  <si>
    <t>Pearson (GT × MP)</t>
  </si>
  <si>
    <t>Status</t>
  </si>
  <si>
    <t>Observations</t>
  </si>
  <si>
    <t>CT_1A_001</t>
  </si>
  <si>
    <t>A = 0</t>
  </si>
  <si>
    <t>Module 1</t>
  </si>
  <si>
    <t>-</t>
  </si>
  <si>
    <t>Module 2</t>
  </si>
  <si>
    <t>CT_1A_002</t>
  </si>
  <si>
    <t>B = 0</t>
  </si>
  <si>
    <t>Low RMSE and high structural correlation indicate that the transformation did not meaningfully affect the model behavior.</t>
  </si>
  <si>
    <t>CT_1A_003</t>
  </si>
  <si>
    <t>C = 0</t>
  </si>
  <si>
    <t>The transformation did not produce a significant change in the model behavior.</t>
  </si>
  <si>
    <t>CT_1A_004</t>
  </si>
  <si>
    <t>D = 0</t>
  </si>
  <si>
    <t>📊 Level 1 — Scenario 1B</t>
  </si>
  <si>
    <t>Exclusive Relation — Assignment of NULL</t>
  </si>
  <si>
    <t>RMSE</t>
  </si>
  <si>
    <t>CT_1B_001</t>
  </si>
  <si>
    <t>A = NULL</t>
  </si>
  <si>
    <t>CT_1B_002</t>
  </si>
  <si>
    <t>B = NULL</t>
  </si>
  <si>
    <t>The model output remained structurally similar to the baseline despite the transformation, violating the expected metamorphic relation.</t>
  </si>
  <si>
    <t>CT_1B_003</t>
  </si>
  <si>
    <t>C = NULL</t>
  </si>
  <si>
    <t>The transformation did not produce a meaningful change in the model behavior, indicating insufficient sensitivity to the modified variable.</t>
  </si>
  <si>
    <t>CT_1B_004</t>
  </si>
  <si>
    <t>D = NULL</t>
  </si>
  <si>
    <t>📊 Level 1 — Scenario 1C</t>
  </si>
  <si>
    <t>Permutative Relation — Temporal Lag</t>
  </si>
  <si>
    <t>CT_1C_001</t>
  </si>
  <si>
    <t>A Lag = 10</t>
  </si>
  <si>
    <t>The model output remained highly correlated with the baseline, indicating insufficient sensitivity to the temporal displacement.</t>
  </si>
  <si>
    <t>The temporal lag did not produce a meaningful behavioral change, violating the expected metamorphic relation.</t>
  </si>
  <si>
    <t>CT_1C_002</t>
  </si>
  <si>
    <t>A Lag = 50</t>
  </si>
  <si>
    <t>The observed change was not sufficient to conclusively determine whether the metamorphic relation was satisfied.</t>
  </si>
  <si>
    <t>CT_1C_003</t>
  </si>
  <si>
    <t>A Lag = 100</t>
  </si>
  <si>
    <t>The transformation produced a moderate effect, but insufficient to confirm the expected temporal sensitivity.</t>
  </si>
  <si>
    <t>The evaluation metrics did not provide sufficient evidence for a definitive conclusion.</t>
  </si>
  <si>
    <t>CT_1C_004</t>
  </si>
  <si>
    <t>B Lag = 10</t>
  </si>
  <si>
    <t>The model behavior remained strongly correlated with the baseline despite the temporal lag.</t>
  </si>
  <si>
    <t>The observed behavioral change was limited and inconclusive.</t>
  </si>
  <si>
    <t>CT_1C_005</t>
  </si>
  <si>
    <t>B Lag = 50</t>
  </si>
  <si>
    <t>The temporal transformation did not significantly affect the model output.</t>
  </si>
  <si>
    <t>The metrics indicate partial sensitivity, but not sufficient to confirm the expected behavior.</t>
  </si>
  <si>
    <t>CT_1C_006</t>
  </si>
  <si>
    <t>B Lag = 100</t>
  </si>
  <si>
    <t>The output remained structurally similar to the baseline despite the temporal displacement.</t>
  </si>
  <si>
    <t>The model showed strong structural similarity to the baseline, violating the metamorphic expectation.</t>
  </si>
  <si>
    <t>CT_1C_007</t>
  </si>
  <si>
    <t>C Lag = 10</t>
  </si>
  <si>
    <t>The temporal lag did not produce a meaningful change in model behavior.</t>
  </si>
  <si>
    <t>The observed effect was insufficient to conclusively validate the temporal relation.</t>
  </si>
  <si>
    <t>CT_1C_008</t>
  </si>
  <si>
    <t>C Lag = 50</t>
  </si>
  <si>
    <t>The model retained strong similarity with the baseline output.</t>
  </si>
  <si>
    <t>The results indicate moderate change, but remain inconclusive.</t>
  </si>
  <si>
    <t>CT_1C_009</t>
  </si>
  <si>
    <t>C Lag = 100</t>
  </si>
  <si>
    <t>The temporal displacement did not sufficiently alter the model behavior.</t>
  </si>
  <si>
    <t>The metrics did not allow a definitive validation of the metamorphic relation.</t>
  </si>
  <si>
    <t>CT_1C_010</t>
  </si>
  <si>
    <t>D Lag = 10</t>
  </si>
  <si>
    <t>The model output remained highly correlated with the baseline.</t>
  </si>
  <si>
    <t>The transformation produced only partial behavioral change.</t>
  </si>
  <si>
    <t>CT_1C_011</t>
  </si>
  <si>
    <t>D Lag = 50</t>
  </si>
  <si>
    <t>The model did not demonstrate sufficient temporal sensitivity.</t>
  </si>
  <si>
    <t>The behavioral variation was insufficient for a definitive conclusion.</t>
  </si>
  <si>
    <t>CT_1C_012</t>
  </si>
  <si>
    <t>D Lag = 100</t>
  </si>
  <si>
    <t>The expected temporal influence was not clearly reflected in the output.</t>
  </si>
  <si>
    <t>The observed effect was moderate and inconclusive.</t>
  </si>
  <si>
    <t>📊 Level 1 — Scenario 1D</t>
  </si>
  <si>
    <t>Multiplicative Relation — Scaling (×20)</t>
  </si>
  <si>
    <t>CT_1D_001</t>
  </si>
  <si>
    <t>A ×20</t>
  </si>
  <si>
    <t>The model output remained strongly correlated with the baseline, despite the scaling transformation, providing inconclusive evidence regarding the expected sensitivity.</t>
  </si>
  <si>
    <t>The scaling produced a moderate behavioral change, but insufficient to conclusively confirm the expected metamorphic relation.</t>
  </si>
  <si>
    <t>CT_1D_002</t>
  </si>
  <si>
    <t>B ×20</t>
  </si>
  <si>
    <t>The model showed partial response to the scaling, but the structural similarity remained relatively high.</t>
  </si>
  <si>
    <t>The strong correlation with the baseline suggests limited sensitivity to scaling, leading to an inconclusive assessment.</t>
  </si>
  <si>
    <t>CT_1D_003</t>
  </si>
  <si>
    <t>C ×20</t>
  </si>
  <si>
    <t>The transformation produced moderate variation, but not sufficient to definitively validate the expected scaling behavior.</t>
  </si>
  <si>
    <t>CT_1D_004</t>
  </si>
  <si>
    <t>D ×20</t>
  </si>
  <si>
    <t>📊 Level 1 — Scenario 1E</t>
  </si>
  <si>
    <t>Sustainable Relation — Gaussian Noise (σ = 0.2)</t>
  </si>
  <si>
    <t>CT_1E_001</t>
  </si>
  <si>
    <t>Noise on A</t>
  </si>
  <si>
    <t>The model output remained almost identical to the baseline, indicating excessive robustness and lack of expected sensitivity to noise.</t>
  </si>
  <si>
    <t>The extremely high structural similarity suggests that the noise perturbation did not meaningfully affect the model behavior.</t>
  </si>
  <si>
    <t>CT_1E_002</t>
  </si>
  <si>
    <t>Noise on B</t>
  </si>
  <si>
    <t>The model showed strong structural similarity with the baseline despite the noise injection.</t>
  </si>
  <si>
    <t>The noise did not produce sufficient behavioral variation, violating the expected sustainable relation.</t>
  </si>
  <si>
    <t>CT_1E_003</t>
  </si>
  <si>
    <t>Noise on C</t>
  </si>
  <si>
    <t>The noise produced moderate variation, but insufficient to conclusively assess the expected robustness behavior.</t>
  </si>
  <si>
    <t>CT_1E_004</t>
  </si>
  <si>
    <t>Noise on D</t>
  </si>
  <si>
    <t>📊 Scenario 2A — Multiplicative Scaling of Kinematic Inputs (M)</t>
  </si>
  <si>
    <t>Transformation</t>
  </si>
  <si>
    <t>Fuel</t>
  </si>
  <si>
    <t>CT_2A_001</t>
  </si>
  <si>
    <t>Speed ×20</t>
  </si>
  <si>
    <t>Ethanol</t>
  </si>
  <si>
    <t>The scaling produced moderate behavioral change, but insufficient to conclusively validate the expected metamorphic relation.</t>
  </si>
  <si>
    <t>Gasoline</t>
  </si>
  <si>
    <t>The model output remained relatively correlated with the baseline, providing inconclusive evidence regarding scaling sensitivity.</t>
  </si>
  <si>
    <t>CT_2A_002</t>
  </si>
  <si>
    <t>Speed ×40</t>
  </si>
  <si>
    <t>The transformation produced partial variation, but the structural similarity remained moderate.</t>
  </si>
  <si>
    <t>The strong correlation suggests limited sensitivity to speed scaling alone.</t>
  </si>
  <si>
    <t>CT_2A_003</t>
  </si>
  <si>
    <t>Speed &amp; Accel ×10</t>
  </si>
  <si>
    <t>The model showed moderate response to the combined scaling, but not sufficient to confirm the expected relation.</t>
  </si>
  <si>
    <t>CT_2A_004</t>
  </si>
  <si>
    <t>Speed &amp; Accel ×20</t>
  </si>
  <si>
    <t>The behavioral change was moderate, providing inconclusive evidence of proper scaling sensitivity.</t>
  </si>
  <si>
    <t>CT_2A_005</t>
  </si>
  <si>
    <t>Speed &amp; Accel ×30</t>
  </si>
  <si>
    <t>The scaling effect was present but insufficient to conclusively validate the expected behavior.</t>
  </si>
  <si>
    <t>📊 Scenario 2B — Additive Translation of Spatial Coordinates (A)</t>
  </si>
  <si>
    <t>CT_2B_001</t>
  </si>
  <si>
    <t>Coord +1,0</t>
  </si>
  <si>
    <t>The spatial translation caused a substantial change in the model output, violating the expected invariance to absolute coordinate position.</t>
  </si>
  <si>
    <t>The model demonstrated improper sensitivity to coordinate offset, indicating dependence on absolute spatial location.</t>
  </si>
  <si>
    <t>CT_2B_002</t>
  </si>
  <si>
    <t>Coord +5,0</t>
  </si>
  <si>
    <t>The model output was significantly altered by the spatial shift, violating the expected spatial invariance property.</t>
  </si>
  <si>
    <t>The coordinate translation resulted in substantial behavioral deviation, revealing lack of robustness to spatial displacement.</t>
  </si>
  <si>
    <t>📊 Scenario 2C — Directional Inversion of Dynamic Input (IV)</t>
  </si>
  <si>
    <t>CT_2C_001</t>
  </si>
  <si>
    <t>Accel Sign Inversion</t>
  </si>
  <si>
    <t>The inversion of acceleration sign did not produce a sufficiently distinct behavioral change, indicating limited sensitivity to motion direction.</t>
  </si>
  <si>
    <t>The transformation produced moderate variation, but insufficient to conclusively confirm the expected sensitivity to directional inversion.</t>
  </si>
  <si>
    <t>📊 Scenario 2D — Temporal Reordering of Speed Signal (P)</t>
  </si>
  <si>
    <t>Lag</t>
  </si>
  <si>
    <t>CT_2D_001</t>
  </si>
  <si>
    <t>The model output remained almost identical to the baseline despite temporal reordering, indicating lack of temporal sensitivity.</t>
  </si>
  <si>
    <t>The temporal shift did not produce a meaningful behavioral change, violating the expected temporal dependency.</t>
  </si>
  <si>
    <t>CT_2D_002</t>
  </si>
  <si>
    <t>The model remained strongly correlated with the baseline, indicating insufficient response to temporal displacement.</t>
  </si>
  <si>
    <t>The temporal reordering produced only limited variation in model output.</t>
  </si>
  <si>
    <t>CT_2D_003</t>
  </si>
  <si>
    <t>The model showed limited sensitivity to the temporal structure of the speed signal.</t>
  </si>
  <si>
    <t>The output remained structurally similar despite the temporal perturbation.</t>
  </si>
  <si>
    <t>CT_2D_004</t>
  </si>
  <si>
    <t>The temporal transformation did not produce a sufficiently distinct behavioral change.</t>
  </si>
  <si>
    <t>The model showed moderate sensitivity to temporal reordering, but insufficient to confirm the expected relation.</t>
  </si>
  <si>
    <t>CT_2D_005</t>
  </si>
  <si>
    <t>The observed variation was moderate and insufficient for a definitive conclusion.</t>
  </si>
  <si>
    <t>📊 Scenario 3A — Steep Uphill Simulation (Composite)</t>
  </si>
  <si>
    <t>CT_3A_001 — Steep Uphill Simulation</t>
  </si>
  <si>
    <t>📊 Scenario 3B — Downhill Inertia Simulation (Composite)</t>
  </si>
  <si>
    <t>CT_3B_001 — Downhill Inertia Simulation</t>
  </si>
  <si>
    <t>📊 Scenario 3C — Hard Braking / Fuel Cut-Off (Composite)</t>
  </si>
  <si>
    <t>CT_3C_001 — Hard Braking / Fuel Cut-Off</t>
  </si>
  <si>
    <t>📊 Scenario 3D — Constant Speed Cruise (Composite)</t>
  </si>
  <si>
    <t>CT_3D_001 — Constant Speed Cruise</t>
  </si>
  <si>
    <t>Coluna 1</t>
  </si>
  <si>
    <t>L1</t>
  </si>
  <si>
    <t>L2</t>
  </si>
  <si>
    <t>L3</t>
  </si>
  <si>
    <t>Total</t>
  </si>
  <si>
    <t>%</t>
  </si>
  <si>
    <t>Total CT</t>
  </si>
  <si>
    <t>PASSED</t>
  </si>
  <si>
    <t>FAILED</t>
  </si>
  <si>
    <t>INCONCLUSIVE</t>
  </si>
  <si>
    <t>RM</t>
  </si>
  <si>
    <t>TOTAL/RM</t>
  </si>
  <si>
    <t>Additive (A)</t>
  </si>
  <si>
    <t>Exclusive (E)</t>
  </si>
  <si>
    <t>Inclusive (I)</t>
  </si>
  <si>
    <t>Inversive (IV)</t>
  </si>
  <si>
    <t>Boundary (B)</t>
  </si>
  <si>
    <t>Multiplicative (M)</t>
  </si>
  <si>
    <t>Permutative (P)</t>
  </si>
  <si>
    <t>Sustainable (S)</t>
  </si>
  <si>
    <t>TOTAL /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</si>
</sst>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#,##0.0000"/>
    <numFmt numFmtId="166" formatCode="m.yyyy"/>
  </numFmts>
  <fonts count="5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Font="1" applyNumberFormat="1"/>
    <xf borderId="0" fillId="0" fontId="2" numFmtId="165" xfId="0" applyAlignment="1" applyFont="1" applyNumberFormat="1">
      <alignment shrinkToFit="0" vertical="center" wrapText="0"/>
    </xf>
    <xf borderId="0" fillId="0" fontId="1" numFmtId="166" xfId="0" applyFont="1" applyNumberFormat="1"/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10" xfId="0" applyAlignment="1" applyFont="1" applyNumberForma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3" fontId="2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shrinkToFit="0" vertical="center" wrapText="0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5">
    <tableStyle count="4" pivot="0" name="L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L3-style">
      <tableStyleElement dxfId="1" type="headerRow"/>
      <tableStyleElement dxfId="2" type="firstRowStripe"/>
      <tableStyleElement dxfId="3" type="secondRowStripe"/>
    </tableStyle>
    <tableStyle count="3" pivot="0" name="L3-style 2">
      <tableStyleElement dxfId="1" type="headerRow"/>
      <tableStyleElement dxfId="2" type="firstRowStripe"/>
      <tableStyleElement dxfId="3" type="secondRowStripe"/>
    </tableStyle>
    <tableStyle count="3" pivot="0" name="L3-style 3">
      <tableStyleElement dxfId="1" type="headerRow"/>
      <tableStyleElement dxfId="2" type="firstRowStripe"/>
      <tableStyleElement dxfId="3" type="secondRowStripe"/>
    </tableStyle>
    <tableStyle count="3" pivot="0" name="L3-style 4">
      <tableStyleElement dxfId="1" type="headerRow"/>
      <tableStyleElement dxfId="2" type="firstRowStripe"/>
      <tableStyleElement dxfId="3" type="secondRowStripe"/>
    </tableStyle>
    <tableStyle count="4" pivot="0" name="Agregate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H13" displayName="Tabela_1" name="Tabela_1" id="1">
  <tableColumns count="8">
    <tableColumn name="Test case" id="1"/>
    <tableColumn name="Variable" id="2"/>
    <tableColumn name="Module" id="3"/>
    <tableColumn name="RMSE (Baseline × MP)" id="4"/>
    <tableColumn name="Pearson (Baseline × MP)" id="5"/>
    <tableColumn name="Pearson (GT × MP)" id="6"/>
    <tableColumn name="Status" id="7"/>
    <tableColumn name="Observations" id="8"/>
  </tableColumns>
  <tableStyleInfo name="L1-style" showColumnStripes="0" showFirstColumn="1" showLastColumn="1" showRowStripes="1"/>
</table>
</file>

<file path=xl/tables/table2.xml><?xml version="1.0" encoding="utf-8"?>
<table xmlns="http://schemas.openxmlformats.org/spreadsheetml/2006/main" ref="A21:H29" displayName="Tabela_2" name="Tabela_2" id="2">
  <tableColumns count="8">
    <tableColumn name="Test case" id="1"/>
    <tableColumn name="Variable" id="2"/>
    <tableColumn name="Module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1-style 2" showColumnStripes="0" showFirstColumn="1" showLastColumn="1" showRowStripes="1"/>
</table>
</file>

<file path=xl/tables/table3.xml><?xml version="1.0" encoding="utf-8"?>
<table xmlns="http://schemas.openxmlformats.org/spreadsheetml/2006/main" ref="A38:H62" displayName="Tabela_3" name="Tabela_3" id="3">
  <tableColumns count="8">
    <tableColumn name="Test case" id="1"/>
    <tableColumn name="Variable" id="2"/>
    <tableColumn name="Module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1-style 3" showColumnStripes="0" showFirstColumn="1" showLastColumn="1" showRowStripes="1"/>
</table>
</file>

<file path=xl/tables/table4.xml><?xml version="1.0" encoding="utf-8"?>
<table xmlns="http://schemas.openxmlformats.org/spreadsheetml/2006/main" ref="A69:H77" displayName="Tabela_4" name="Tabela_4" id="4">
  <tableColumns count="8">
    <tableColumn name="Test case" id="1"/>
    <tableColumn name="Variable" id="2"/>
    <tableColumn name="Module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1-style 4" showColumnStripes="0" showFirstColumn="1" showLastColumn="1" showRowStripes="1"/>
</table>
</file>

<file path=xl/tables/table5.xml><?xml version="1.0" encoding="utf-8"?>
<table xmlns="http://schemas.openxmlformats.org/spreadsheetml/2006/main" ref="A85:H93" displayName="Tabela_5" name="Tabela_5" id="5">
  <tableColumns count="8">
    <tableColumn name="Test case" id="1"/>
    <tableColumn name="Variable" id="2"/>
    <tableColumn name="Module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1-style 5" showColumnStripes="0" showFirstColumn="1" showLastColumn="1" showRowStripes="1"/>
</table>
</file>

<file path=xl/tables/table6.xml><?xml version="1.0" encoding="utf-8"?>
<table xmlns="http://schemas.openxmlformats.org/spreadsheetml/2006/main" ref="A3:H13" displayName="Tabela_6" name="Tabela_6" id="6">
  <tableColumns count="8">
    <tableColumn name="Test case" id="1"/>
    <tableColumn name="Transformation" id="2"/>
    <tableColumn name="Fuel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2-style" showColumnStripes="0" showFirstColumn="1" showLastColumn="1" showRowStripes="1"/>
</table>
</file>

<file path=xl/tables/table7.xml><?xml version="1.0" encoding="utf-8"?>
<table xmlns="http://schemas.openxmlformats.org/spreadsheetml/2006/main" ref="A19:H23" displayName="Tabela_7" name="Tabela_7" id="7">
  <tableColumns count="8">
    <tableColumn name="Test case" id="1"/>
    <tableColumn name="Transformation" id="2"/>
    <tableColumn name="Fuel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2-style 2" showColumnStripes="0" showFirstColumn="1" showLastColumn="1" showRowStripes="1"/>
</table>
</file>

<file path=xl/tables/table8.xml><?xml version="1.0" encoding="utf-8"?>
<table xmlns="http://schemas.openxmlformats.org/spreadsheetml/2006/main" ref="A29:H31" displayName="Tabela_8" name="Tabela_8" id="8">
  <tableColumns count="8">
    <tableColumn name="Test case" id="1"/>
    <tableColumn name="Transformation" id="2"/>
    <tableColumn name="Fuel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2-style 3" showColumnStripes="0" showFirstColumn="1" showLastColumn="1" showRowStripes="1"/>
</table>
</file>

<file path=xl/tables/table9.xml><?xml version="1.0" encoding="utf-8"?>
<table xmlns="http://schemas.openxmlformats.org/spreadsheetml/2006/main" ref="A37:H47" displayName="Tabela_9" name="Tabela_9" id="9">
  <tableColumns count="8">
    <tableColumn name="Test case" id="1"/>
    <tableColumn name="Lag" id="2"/>
    <tableColumn name="Fuel" id="3"/>
    <tableColumn name="RMSE" id="4"/>
    <tableColumn name="Pearson (Baseline × MP)" id="5"/>
    <tableColumn name="Pearson (GT × MP)" id="6"/>
    <tableColumn name="Status" id="7"/>
    <tableColumn name="Observations" id="8"/>
  </tableColumns>
  <tableStyleInfo name="L2-style 4" showColumnStripes="0" showFirstColumn="1" showLastColumn="1" showRowStripes="1"/>
</table>
</file>

<file path=xl/tables/table10.xml><?xml version="1.0" encoding="utf-8"?>
<table xmlns="http://schemas.openxmlformats.org/spreadsheetml/2006/main" ref="A3:F5" displayName="Table_1" name="Table_1" id="10">
  <tableColumns count="6">
    <tableColumn name="Test case" id="1"/>
    <tableColumn name="Fuel" id="2"/>
    <tableColumn name="RMSE" id="3"/>
    <tableColumn name="Pearson (Baseline × MP)" id="4"/>
    <tableColumn name="Pearson (GT × MP)" id="5"/>
    <tableColumn name="Status" id="6"/>
  </tableColumns>
  <tableStyleInfo name="L3-style" showColumnStripes="0" showFirstColumn="1" showLastColumn="1" showRowStripes="1"/>
</table>
</file>

<file path=xl/tables/table11.xml><?xml version="1.0" encoding="utf-8"?>
<table xmlns="http://schemas.openxmlformats.org/spreadsheetml/2006/main" ref="A11:F13" displayName="Table_2" name="Table_2" id="11">
  <tableColumns count="6">
    <tableColumn name="Test case" id="1"/>
    <tableColumn name="Fuel" id="2"/>
    <tableColumn name="RMSE" id="3"/>
    <tableColumn name="Pearson (Baseline × MP)" id="4"/>
    <tableColumn name="Pearson (GT × MP)" id="5"/>
    <tableColumn name="Status" id="6"/>
  </tableColumns>
  <tableStyleInfo name="L3-style 2" showColumnStripes="0" showFirstColumn="1" showLastColumn="1" showRowStripes="1"/>
</table>
</file>

<file path=xl/tables/table12.xml><?xml version="1.0" encoding="utf-8"?>
<table xmlns="http://schemas.openxmlformats.org/spreadsheetml/2006/main" ref="A20:F22" displayName="Table_3" name="Table_3" id="12">
  <tableColumns count="6">
    <tableColumn name="Test case" id="1"/>
    <tableColumn name="Fuel" id="2"/>
    <tableColumn name="RMSE" id="3"/>
    <tableColumn name="Pearson (Baseline × MP)" id="4"/>
    <tableColumn name="Pearson (GT × MP)" id="5"/>
    <tableColumn name="Status" id="6"/>
  </tableColumns>
  <tableStyleInfo name="L3-style 3" showColumnStripes="0" showFirstColumn="1" showLastColumn="1" showRowStripes="1"/>
</table>
</file>

<file path=xl/tables/table13.xml><?xml version="1.0" encoding="utf-8"?>
<table xmlns="http://schemas.openxmlformats.org/spreadsheetml/2006/main" ref="A30:F32" displayName="Table_4" name="Table_4" id="13">
  <tableColumns count="6">
    <tableColumn name="Test case" id="1"/>
    <tableColumn name="Fuel" id="2"/>
    <tableColumn name="RMSE" id="3"/>
    <tableColumn name="Pearson (Baseline × MP)" id="4"/>
    <tableColumn name="Pearson (GT × MP)" id="5"/>
    <tableColumn name="Status" id="6"/>
  </tableColumns>
  <tableStyleInfo name="L3-style 4" showColumnStripes="0" showFirstColumn="1" showLastColumn="1" showRowStripes="1"/>
</table>
</file>

<file path=xl/tables/table14.xml><?xml version="1.0" encoding="utf-8"?>
<table xmlns="http://schemas.openxmlformats.org/spreadsheetml/2006/main" ref="A1:F5" displayName="Tabela_10" name="Tabela_10" id="14">
  <tableColumns count="6">
    <tableColumn name="Coluna 1" id="1"/>
    <tableColumn name="L1" id="2"/>
    <tableColumn name="L2" id="3"/>
    <tableColumn name="L3" id="4"/>
    <tableColumn name="Total" id="5"/>
    <tableColumn name="%" id="6"/>
  </tableColumns>
  <tableStyleInfo name="Agregate Data-style" showColumnStripes="0" showFirstColumn="1" showLastColumn="1" showRowStripes="1"/>
</table>
</file>

<file path=xl/tables/table15.xml><?xml version="1.0" encoding="utf-8"?>
<table xmlns="http://schemas.openxmlformats.org/spreadsheetml/2006/main" ref="A1:E10" displayName="Tabela_11" name="Tabela_11" id="15">
  <tableColumns count="5">
    <tableColumn name="RM" id="1"/>
    <tableColumn name="L1" id="2"/>
    <tableColumn name="L2" id="3"/>
    <tableColumn name="L3" id="4"/>
    <tableColumn name="TOTAL/RM" id="5"/>
  </tableColumns>
  <tableStyleInfo name="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13.0"/>
    <col customWidth="1" min="3" max="3" width="11.88"/>
    <col customWidth="1" min="4" max="4" width="24.63"/>
    <col customWidth="1" min="5" max="5" width="25.63"/>
    <col customWidth="1" min="6" max="6" width="24.63"/>
    <col customWidth="1" min="7" max="7" width="19.88"/>
    <col customWidth="1" min="8" max="8" width="113.25"/>
    <col customWidth="1" min="9" max="25" width="19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2"/>
      <c r="B2" s="2"/>
      <c r="C2" s="2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" t="s">
        <v>1</v>
      </c>
      <c r="B3" s="2"/>
      <c r="C3" s="2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"/>
      <c r="B4" s="2"/>
      <c r="C4" s="2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4" t="s">
        <v>2</v>
      </c>
      <c r="B5" s="4" t="s">
        <v>3</v>
      </c>
      <c r="C5" s="4" t="s">
        <v>4</v>
      </c>
      <c r="D5" s="5" t="s">
        <v>5</v>
      </c>
      <c r="E5" s="5" t="s">
        <v>6</v>
      </c>
      <c r="F5" s="5" t="s">
        <v>7</v>
      </c>
      <c r="G5" s="6" t="s">
        <v>8</v>
      </c>
      <c r="H5" s="6" t="s">
        <v>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2.5" customHeight="1">
      <c r="A6" s="8" t="s">
        <v>10</v>
      </c>
      <c r="B6" s="8" t="s">
        <v>11</v>
      </c>
      <c r="C6" s="8" t="s">
        <v>12</v>
      </c>
      <c r="D6" s="9">
        <v>0.49</v>
      </c>
      <c r="E6" s="9">
        <v>0.395</v>
      </c>
      <c r="F6" s="9">
        <v>0.406</v>
      </c>
      <c r="G6" s="10" t="str">
        <f t="shared" ref="G6:G13" si="1">IF(D6&lt;=0.4,"FAILED",
   IF(D6&gt;=0.8,"PASSED",
      IF(E6&gt;=0.85,"FAILED",
         IF(E6&lt;0.5,"PASSED",
            "INCONCLUSIVE"))))</f>
        <v>PASSED</v>
      </c>
      <c r="H6" s="10" t="s">
        <v>13</v>
      </c>
      <c r="I6" s="11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8" t="s">
        <v>10</v>
      </c>
      <c r="B7" s="8" t="s">
        <v>11</v>
      </c>
      <c r="C7" s="8" t="s">
        <v>14</v>
      </c>
      <c r="D7" s="9">
        <v>0.8179</v>
      </c>
      <c r="E7" s="9">
        <v>0.639</v>
      </c>
      <c r="F7" s="9">
        <v>0.537</v>
      </c>
      <c r="G7" s="10" t="str">
        <f t="shared" si="1"/>
        <v>PASSED</v>
      </c>
      <c r="H7" s="10"/>
      <c r="I7" s="11"/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8" t="s">
        <v>15</v>
      </c>
      <c r="B8" s="8" t="s">
        <v>16</v>
      </c>
      <c r="C8" s="8" t="s">
        <v>12</v>
      </c>
      <c r="D8" s="9">
        <v>0.1847</v>
      </c>
      <c r="E8" s="9">
        <v>0.919</v>
      </c>
      <c r="F8" s="9">
        <v>0.779</v>
      </c>
      <c r="G8" s="10" t="str">
        <f t="shared" si="1"/>
        <v>FAILED</v>
      </c>
      <c r="H8" s="10" t="s">
        <v>17</v>
      </c>
      <c r="I8" s="3"/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8" t="s">
        <v>15</v>
      </c>
      <c r="B9" s="8" t="s">
        <v>16</v>
      </c>
      <c r="C9" s="8" t="s">
        <v>14</v>
      </c>
      <c r="D9" s="9">
        <v>0.2673</v>
      </c>
      <c r="E9" s="9">
        <v>0.941</v>
      </c>
      <c r="F9" s="9">
        <v>0.733</v>
      </c>
      <c r="G9" s="10" t="str">
        <f t="shared" si="1"/>
        <v>FAILED</v>
      </c>
      <c r="H9" s="10" t="s">
        <v>17</v>
      </c>
      <c r="I9" s="3"/>
      <c r="J9" s="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8" t="s">
        <v>18</v>
      </c>
      <c r="B10" s="8" t="s">
        <v>19</v>
      </c>
      <c r="C10" s="8" t="s">
        <v>12</v>
      </c>
      <c r="D10" s="9">
        <v>0.3941</v>
      </c>
      <c r="E10" s="9">
        <v>0.48</v>
      </c>
      <c r="F10" s="9">
        <v>0.458</v>
      </c>
      <c r="G10" s="10" t="str">
        <f t="shared" si="1"/>
        <v>FAILED</v>
      </c>
      <c r="H10" s="10" t="s">
        <v>20</v>
      </c>
      <c r="I10" s="3"/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8" t="s">
        <v>18</v>
      </c>
      <c r="B11" s="8" t="s">
        <v>19</v>
      </c>
      <c r="C11" s="8" t="s">
        <v>14</v>
      </c>
      <c r="D11" s="9">
        <v>1.0747</v>
      </c>
      <c r="E11" s="9">
        <v>0.03</v>
      </c>
      <c r="F11" s="9">
        <v>0.02</v>
      </c>
      <c r="G11" s="10" t="str">
        <f t="shared" si="1"/>
        <v>PASSED</v>
      </c>
      <c r="H11" s="10" t="s">
        <v>13</v>
      </c>
      <c r="I11" s="2"/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8" t="s">
        <v>21</v>
      </c>
      <c r="B12" s="8" t="s">
        <v>22</v>
      </c>
      <c r="C12" s="8" t="s">
        <v>12</v>
      </c>
      <c r="D12" s="9">
        <v>0.4241</v>
      </c>
      <c r="E12" s="9">
        <v>0.385</v>
      </c>
      <c r="F12" s="9">
        <v>0.351</v>
      </c>
      <c r="G12" s="10" t="str">
        <f t="shared" si="1"/>
        <v>PASSED</v>
      </c>
      <c r="H12" s="10" t="s">
        <v>13</v>
      </c>
      <c r="I12" s="3"/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8" t="s">
        <v>21</v>
      </c>
      <c r="B13" s="8" t="s">
        <v>22</v>
      </c>
      <c r="C13" s="8" t="s">
        <v>14</v>
      </c>
      <c r="D13" s="9">
        <v>0.7443</v>
      </c>
      <c r="E13" s="9">
        <v>0.456</v>
      </c>
      <c r="F13" s="9">
        <v>0.398</v>
      </c>
      <c r="G13" s="10" t="str">
        <f t="shared" si="1"/>
        <v>PASSED</v>
      </c>
      <c r="H13" s="10" t="s">
        <v>13</v>
      </c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4" t="s">
        <v>2</v>
      </c>
      <c r="B21" s="4" t="s">
        <v>3</v>
      </c>
      <c r="C21" s="4" t="s">
        <v>4</v>
      </c>
      <c r="D21" s="4" t="s">
        <v>25</v>
      </c>
      <c r="E21" s="4" t="s">
        <v>6</v>
      </c>
      <c r="F21" s="4" t="s">
        <v>7</v>
      </c>
      <c r="G21" s="6" t="s">
        <v>8</v>
      </c>
      <c r="H21" s="6" t="s">
        <v>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8" t="s">
        <v>26</v>
      </c>
      <c r="B22" s="8" t="s">
        <v>27</v>
      </c>
      <c r="C22" s="8" t="s">
        <v>12</v>
      </c>
      <c r="D22" s="12">
        <v>0.9639</v>
      </c>
      <c r="E22" s="12">
        <v>0.391</v>
      </c>
      <c r="F22" s="12">
        <v>0.347</v>
      </c>
      <c r="G22" s="10" t="str">
        <f t="shared" ref="G22:G29" si="2">IF(D22&lt;=0.4,"FAILED",
   IF(D22&gt;=0.8,"PASSED",
      IF(E22&gt;=0.85,"FAILED",
         IF(E22&lt;0.5,"PASSED",
            "INCONCLUSIVE"))))</f>
        <v>PASSED</v>
      </c>
      <c r="H22" s="10" t="s">
        <v>13</v>
      </c>
      <c r="I22" s="3"/>
      <c r="J22" s="3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8" t="s">
        <v>26</v>
      </c>
      <c r="B23" s="8" t="s">
        <v>27</v>
      </c>
      <c r="C23" s="8" t="s">
        <v>14</v>
      </c>
      <c r="D23" s="12">
        <v>1.2611</v>
      </c>
      <c r="E23" s="12">
        <v>0.493</v>
      </c>
      <c r="F23" s="12">
        <v>0.391</v>
      </c>
      <c r="G23" s="10" t="str">
        <f t="shared" si="2"/>
        <v>PASSED</v>
      </c>
      <c r="H23" s="10" t="s">
        <v>13</v>
      </c>
      <c r="I23" s="13"/>
      <c r="J23" s="3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8" t="s">
        <v>28</v>
      </c>
      <c r="B24" s="8" t="s">
        <v>29</v>
      </c>
      <c r="C24" s="8" t="s">
        <v>12</v>
      </c>
      <c r="D24" s="12">
        <v>0.1949</v>
      </c>
      <c r="E24" s="12">
        <v>0.9</v>
      </c>
      <c r="F24" s="12">
        <v>0.752</v>
      </c>
      <c r="G24" s="10" t="str">
        <f t="shared" si="2"/>
        <v>FAILED</v>
      </c>
      <c r="H24" s="10" t="s">
        <v>30</v>
      </c>
      <c r="I24" s="3"/>
      <c r="J24" s="3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8" t="s">
        <v>28</v>
      </c>
      <c r="B25" s="8" t="s">
        <v>29</v>
      </c>
      <c r="C25" s="8" t="s">
        <v>14</v>
      </c>
      <c r="D25" s="12">
        <v>0.3328</v>
      </c>
      <c r="E25" s="12">
        <v>0.906</v>
      </c>
      <c r="F25" s="12">
        <v>0.712</v>
      </c>
      <c r="G25" s="10" t="str">
        <f t="shared" si="2"/>
        <v>FAILED</v>
      </c>
      <c r="H25" s="10" t="s">
        <v>30</v>
      </c>
      <c r="I25" s="3"/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8" t="s">
        <v>31</v>
      </c>
      <c r="B26" s="8" t="s">
        <v>32</v>
      </c>
      <c r="C26" s="8" t="s">
        <v>12</v>
      </c>
      <c r="D26" s="12">
        <v>0.3941</v>
      </c>
      <c r="E26" s="12">
        <v>0.48</v>
      </c>
      <c r="F26" s="12">
        <v>0.458</v>
      </c>
      <c r="G26" s="10" t="str">
        <f t="shared" si="2"/>
        <v>FAILED</v>
      </c>
      <c r="H26" s="10" t="s">
        <v>33</v>
      </c>
      <c r="I26" s="3"/>
      <c r="J26" s="3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8" t="s">
        <v>31</v>
      </c>
      <c r="B27" s="8" t="s">
        <v>32</v>
      </c>
      <c r="C27" s="8" t="s">
        <v>14</v>
      </c>
      <c r="D27" s="12">
        <v>1.0747</v>
      </c>
      <c r="E27" s="12">
        <v>0.03</v>
      </c>
      <c r="F27" s="12">
        <v>0.02</v>
      </c>
      <c r="G27" s="10" t="str">
        <f t="shared" si="2"/>
        <v>PASSED</v>
      </c>
      <c r="H27" s="10" t="s">
        <v>13</v>
      </c>
      <c r="I27" s="13"/>
      <c r="J27" s="3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8" t="s">
        <v>34</v>
      </c>
      <c r="B28" s="8" t="s">
        <v>35</v>
      </c>
      <c r="C28" s="8" t="s">
        <v>12</v>
      </c>
      <c r="D28" s="12">
        <v>0.4241</v>
      </c>
      <c r="E28" s="12">
        <v>0.385</v>
      </c>
      <c r="F28" s="12">
        <v>0.351</v>
      </c>
      <c r="G28" s="10" t="str">
        <f t="shared" si="2"/>
        <v>PASSED</v>
      </c>
      <c r="H28" s="10" t="s">
        <v>13</v>
      </c>
      <c r="I28" s="3"/>
      <c r="J28" s="3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8" t="s">
        <v>34</v>
      </c>
      <c r="B29" s="8" t="s">
        <v>35</v>
      </c>
      <c r="C29" s="8" t="s">
        <v>14</v>
      </c>
      <c r="D29" s="12">
        <v>0.7443</v>
      </c>
      <c r="E29" s="12">
        <v>0.456</v>
      </c>
      <c r="F29" s="12">
        <v>0.398</v>
      </c>
      <c r="G29" s="10" t="str">
        <f t="shared" si="2"/>
        <v>PASSED</v>
      </c>
      <c r="H29" s="10" t="s">
        <v>13</v>
      </c>
      <c r="I29" s="3"/>
      <c r="J29" s="3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" t="s">
        <v>36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 t="s">
        <v>37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4"/>
      <c r="B37" s="14"/>
      <c r="C37" s="14"/>
      <c r="D37" s="14"/>
      <c r="E37" s="14"/>
      <c r="F37" s="1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2.5" customHeight="1">
      <c r="A38" s="4" t="s">
        <v>2</v>
      </c>
      <c r="B38" s="4" t="s">
        <v>3</v>
      </c>
      <c r="C38" s="4" t="s">
        <v>4</v>
      </c>
      <c r="D38" s="4" t="s">
        <v>25</v>
      </c>
      <c r="E38" s="4" t="s">
        <v>6</v>
      </c>
      <c r="F38" s="4" t="s">
        <v>7</v>
      </c>
      <c r="G38" s="6" t="s">
        <v>8</v>
      </c>
      <c r="H38" s="6" t="s">
        <v>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2.5" customHeight="1">
      <c r="A39" s="8" t="s">
        <v>38</v>
      </c>
      <c r="B39" s="8" t="s">
        <v>39</v>
      </c>
      <c r="C39" s="8" t="s">
        <v>12</v>
      </c>
      <c r="D39" s="12">
        <v>0.287</v>
      </c>
      <c r="E39" s="12">
        <v>0.777</v>
      </c>
      <c r="F39" s="12">
        <v>0.625</v>
      </c>
      <c r="G39" s="10" t="str">
        <f t="shared" ref="G39:G62" si="3">IF(D39&lt;=0.4,"FAILED",
   IF(D39&gt;=0.8,"PASSED",
      IF(E39&gt;=0.85,"FAILED",
         IF(E39&lt;0.5,"PASSED",
            "INCONCLUSIVE"))))</f>
        <v>FAILED</v>
      </c>
      <c r="H39" s="10" t="s">
        <v>40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2.5" customHeight="1">
      <c r="A40" s="8" t="s">
        <v>38</v>
      </c>
      <c r="B40" s="8" t="s">
        <v>39</v>
      </c>
      <c r="C40" s="8" t="s">
        <v>14</v>
      </c>
      <c r="D40" s="12">
        <v>0.4046</v>
      </c>
      <c r="E40" s="12">
        <v>0.853</v>
      </c>
      <c r="F40" s="12">
        <v>0.676</v>
      </c>
      <c r="G40" s="10" t="str">
        <f t="shared" si="3"/>
        <v>FAILED</v>
      </c>
      <c r="H40" s="10" t="s">
        <v>41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2.5" customHeight="1">
      <c r="A41" s="8" t="s">
        <v>42</v>
      </c>
      <c r="B41" s="8" t="s">
        <v>43</v>
      </c>
      <c r="C41" s="8" t="s">
        <v>12</v>
      </c>
      <c r="D41" s="12">
        <v>0.4265</v>
      </c>
      <c r="E41" s="12">
        <v>0.488</v>
      </c>
      <c r="F41" s="12">
        <v>0.391</v>
      </c>
      <c r="G41" s="10" t="str">
        <f t="shared" si="3"/>
        <v>PASSED</v>
      </c>
      <c r="H41" s="10" t="s">
        <v>13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2.5" customHeight="1">
      <c r="A42" s="8" t="s">
        <v>42</v>
      </c>
      <c r="B42" s="8" t="s">
        <v>43</v>
      </c>
      <c r="C42" s="8" t="s">
        <v>14</v>
      </c>
      <c r="D42" s="12">
        <v>0.5931</v>
      </c>
      <c r="E42" s="12">
        <v>0.69</v>
      </c>
      <c r="F42" s="12">
        <v>0.547</v>
      </c>
      <c r="G42" s="10" t="str">
        <f t="shared" si="3"/>
        <v>INCONCLUSIVE</v>
      </c>
      <c r="H42" s="10" t="s">
        <v>44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2.5" customHeight="1">
      <c r="A43" s="8" t="s">
        <v>45</v>
      </c>
      <c r="B43" s="8" t="s">
        <v>46</v>
      </c>
      <c r="C43" s="8" t="s">
        <v>12</v>
      </c>
      <c r="D43" s="12">
        <v>0.4105</v>
      </c>
      <c r="E43" s="12">
        <v>0.573</v>
      </c>
      <c r="F43" s="12">
        <v>0.5</v>
      </c>
      <c r="G43" s="10" t="str">
        <f t="shared" si="3"/>
        <v>INCONCLUSIVE</v>
      </c>
      <c r="H43" s="10" t="s">
        <v>47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2.5" customHeight="1">
      <c r="A44" s="8" t="s">
        <v>45</v>
      </c>
      <c r="B44" s="8" t="s">
        <v>46</v>
      </c>
      <c r="C44" s="8" t="s">
        <v>14</v>
      </c>
      <c r="D44" s="12">
        <v>0.7877</v>
      </c>
      <c r="E44" s="12">
        <v>0.534</v>
      </c>
      <c r="F44" s="12">
        <v>0.416</v>
      </c>
      <c r="G44" s="10" t="str">
        <f t="shared" si="3"/>
        <v>INCONCLUSIVE</v>
      </c>
      <c r="H44" s="10" t="s">
        <v>48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2.5" customHeight="1">
      <c r="A45" s="8" t="s">
        <v>49</v>
      </c>
      <c r="B45" s="8" t="s">
        <v>50</v>
      </c>
      <c r="C45" s="8" t="s">
        <v>12</v>
      </c>
      <c r="D45" s="12">
        <v>0.2819</v>
      </c>
      <c r="E45" s="12">
        <v>0.79</v>
      </c>
      <c r="F45" s="12">
        <v>0.673</v>
      </c>
      <c r="G45" s="10" t="str">
        <f t="shared" si="3"/>
        <v>FAILED</v>
      </c>
      <c r="H45" s="10" t="s">
        <v>51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2.5" customHeight="1">
      <c r="A46" s="8" t="s">
        <v>49</v>
      </c>
      <c r="B46" s="8" t="s">
        <v>50</v>
      </c>
      <c r="C46" s="8" t="s">
        <v>14</v>
      </c>
      <c r="D46" s="12">
        <v>0.4323</v>
      </c>
      <c r="E46" s="12">
        <v>0.832</v>
      </c>
      <c r="F46" s="12">
        <v>0.645</v>
      </c>
      <c r="G46" s="10" t="str">
        <f t="shared" si="3"/>
        <v>INCONCLUSIVE</v>
      </c>
      <c r="H46" s="10" t="s">
        <v>52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2.5" customHeight="1">
      <c r="A47" s="8" t="s">
        <v>53</v>
      </c>
      <c r="B47" s="8" t="s">
        <v>54</v>
      </c>
      <c r="C47" s="8" t="s">
        <v>12</v>
      </c>
      <c r="D47" s="12">
        <v>0.2651</v>
      </c>
      <c r="E47" s="12">
        <v>0.811</v>
      </c>
      <c r="F47" s="12">
        <v>0.681</v>
      </c>
      <c r="G47" s="10" t="str">
        <f t="shared" si="3"/>
        <v>FAILED</v>
      </c>
      <c r="H47" s="10" t="s">
        <v>55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2.5" customHeight="1">
      <c r="A48" s="8" t="s">
        <v>53</v>
      </c>
      <c r="B48" s="8" t="s">
        <v>54</v>
      </c>
      <c r="C48" s="8" t="s">
        <v>14</v>
      </c>
      <c r="D48" s="12">
        <v>0.4118</v>
      </c>
      <c r="E48" s="12">
        <v>0.846</v>
      </c>
      <c r="F48" s="12">
        <v>0.666</v>
      </c>
      <c r="G48" s="10" t="str">
        <f t="shared" si="3"/>
        <v>INCONCLUSIVE</v>
      </c>
      <c r="H48" s="10" t="s">
        <v>56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2.5" customHeight="1">
      <c r="A49" s="8" t="s">
        <v>57</v>
      </c>
      <c r="B49" s="8" t="s">
        <v>58</v>
      </c>
      <c r="C49" s="8" t="s">
        <v>12</v>
      </c>
      <c r="D49" s="12">
        <v>0.271</v>
      </c>
      <c r="E49" s="12">
        <v>0.806</v>
      </c>
      <c r="F49" s="12">
        <v>0.692</v>
      </c>
      <c r="G49" s="10" t="str">
        <f t="shared" si="3"/>
        <v>FAILED</v>
      </c>
      <c r="H49" s="10" t="s">
        <v>59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2.5" customHeight="1">
      <c r="A50" s="8" t="s">
        <v>57</v>
      </c>
      <c r="B50" s="8" t="s">
        <v>58</v>
      </c>
      <c r="C50" s="8" t="s">
        <v>14</v>
      </c>
      <c r="D50" s="12">
        <v>0.3927</v>
      </c>
      <c r="E50" s="12">
        <v>0.862</v>
      </c>
      <c r="F50" s="12">
        <v>0.671</v>
      </c>
      <c r="G50" s="10" t="str">
        <f t="shared" si="3"/>
        <v>FAILED</v>
      </c>
      <c r="H50" s="10" t="s">
        <v>60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2.5" customHeight="1">
      <c r="A51" s="8" t="s">
        <v>61</v>
      </c>
      <c r="B51" s="8" t="s">
        <v>62</v>
      </c>
      <c r="C51" s="8" t="s">
        <v>12</v>
      </c>
      <c r="D51" s="12">
        <v>0.2395</v>
      </c>
      <c r="E51" s="12">
        <v>0.847</v>
      </c>
      <c r="F51" s="12">
        <v>0.733</v>
      </c>
      <c r="G51" s="10" t="str">
        <f t="shared" si="3"/>
        <v>FAILED</v>
      </c>
      <c r="H51" s="10" t="s">
        <v>63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2.5" customHeight="1">
      <c r="A52" s="8" t="s">
        <v>61</v>
      </c>
      <c r="B52" s="8" t="s">
        <v>62</v>
      </c>
      <c r="C52" s="8" t="s">
        <v>14</v>
      </c>
      <c r="D52" s="12">
        <v>0.4625</v>
      </c>
      <c r="E52" s="12">
        <v>0.812</v>
      </c>
      <c r="F52" s="12">
        <v>0.688</v>
      </c>
      <c r="G52" s="10" t="str">
        <f t="shared" si="3"/>
        <v>INCONCLUSIVE</v>
      </c>
      <c r="H52" s="10" t="s">
        <v>64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2.5" customHeight="1">
      <c r="A53" s="8" t="s">
        <v>65</v>
      </c>
      <c r="B53" s="8" t="s">
        <v>66</v>
      </c>
      <c r="C53" s="8" t="s">
        <v>12</v>
      </c>
      <c r="D53" s="12">
        <v>0.3299</v>
      </c>
      <c r="E53" s="12">
        <v>0.724</v>
      </c>
      <c r="F53" s="12">
        <v>0.649</v>
      </c>
      <c r="G53" s="10" t="str">
        <f t="shared" si="3"/>
        <v>FAILED</v>
      </c>
      <c r="H53" s="10" t="s">
        <v>67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2.5" customHeight="1">
      <c r="A54" s="8" t="s">
        <v>65</v>
      </c>
      <c r="B54" s="8" t="s">
        <v>66</v>
      </c>
      <c r="C54" s="8" t="s">
        <v>14</v>
      </c>
      <c r="D54" s="12">
        <v>0.6319</v>
      </c>
      <c r="E54" s="12">
        <v>0.669</v>
      </c>
      <c r="F54" s="12">
        <v>0.605</v>
      </c>
      <c r="G54" s="10" t="str">
        <f t="shared" si="3"/>
        <v>INCONCLUSIVE</v>
      </c>
      <c r="H54" s="10" t="s">
        <v>68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2.5" customHeight="1">
      <c r="A55" s="8" t="s">
        <v>69</v>
      </c>
      <c r="B55" s="8" t="s">
        <v>70</v>
      </c>
      <c r="C55" s="8" t="s">
        <v>12</v>
      </c>
      <c r="D55" s="12">
        <v>0.3836</v>
      </c>
      <c r="E55" s="12">
        <v>0.617</v>
      </c>
      <c r="F55" s="12">
        <v>0.567</v>
      </c>
      <c r="G55" s="10" t="str">
        <f t="shared" si="3"/>
        <v>FAILED</v>
      </c>
      <c r="H55" s="10" t="s">
        <v>71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2.5" customHeight="1">
      <c r="A56" s="8" t="s">
        <v>69</v>
      </c>
      <c r="B56" s="8" t="s">
        <v>70</v>
      </c>
      <c r="C56" s="8" t="s">
        <v>14</v>
      </c>
      <c r="D56" s="12">
        <v>0.6248</v>
      </c>
      <c r="E56" s="12">
        <v>0.62</v>
      </c>
      <c r="F56" s="12">
        <v>0.576</v>
      </c>
      <c r="G56" s="10" t="str">
        <f t="shared" si="3"/>
        <v>INCONCLUSIVE</v>
      </c>
      <c r="H56" s="10" t="s">
        <v>72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2.5" customHeight="1">
      <c r="A57" s="8" t="s">
        <v>73</v>
      </c>
      <c r="B57" s="8" t="s">
        <v>74</v>
      </c>
      <c r="C57" s="8" t="s">
        <v>12</v>
      </c>
      <c r="D57" s="12">
        <v>0.3066</v>
      </c>
      <c r="E57" s="12">
        <v>0.743</v>
      </c>
      <c r="F57" s="12">
        <v>0.589</v>
      </c>
      <c r="G57" s="10" t="str">
        <f t="shared" si="3"/>
        <v>FAILED</v>
      </c>
      <c r="H57" s="10" t="s">
        <v>75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2.5" customHeight="1">
      <c r="A58" s="8" t="s">
        <v>73</v>
      </c>
      <c r="B58" s="8" t="s">
        <v>74</v>
      </c>
      <c r="C58" s="8" t="s">
        <v>14</v>
      </c>
      <c r="D58" s="12">
        <v>0.6124</v>
      </c>
      <c r="E58" s="12">
        <v>0.679</v>
      </c>
      <c r="F58" s="12">
        <v>0.533</v>
      </c>
      <c r="G58" s="10" t="str">
        <f t="shared" si="3"/>
        <v>INCONCLUSIVE</v>
      </c>
      <c r="H58" s="10" t="s">
        <v>76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2.5" customHeight="1">
      <c r="A59" s="8" t="s">
        <v>77</v>
      </c>
      <c r="B59" s="8" t="s">
        <v>78</v>
      </c>
      <c r="C59" s="8" t="s">
        <v>12</v>
      </c>
      <c r="D59" s="12">
        <v>0.3898</v>
      </c>
      <c r="E59" s="12">
        <v>0.595</v>
      </c>
      <c r="F59" s="12">
        <v>0.493</v>
      </c>
      <c r="G59" s="10" t="str">
        <f t="shared" si="3"/>
        <v>FAILED</v>
      </c>
      <c r="H59" s="10" t="s">
        <v>79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2.5" customHeight="1">
      <c r="A60" s="8" t="s">
        <v>77</v>
      </c>
      <c r="B60" s="8" t="s">
        <v>78</v>
      </c>
      <c r="C60" s="8" t="s">
        <v>14</v>
      </c>
      <c r="D60" s="12">
        <v>0.7595</v>
      </c>
      <c r="E60" s="12">
        <v>0.541</v>
      </c>
      <c r="F60" s="12">
        <v>0.434</v>
      </c>
      <c r="G60" s="10" t="str">
        <f t="shared" si="3"/>
        <v>INCONCLUSIVE</v>
      </c>
      <c r="H60" s="10" t="s">
        <v>80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2.5" customHeight="1">
      <c r="A61" s="8" t="s">
        <v>81</v>
      </c>
      <c r="B61" s="8" t="s">
        <v>82</v>
      </c>
      <c r="C61" s="8" t="s">
        <v>12</v>
      </c>
      <c r="D61" s="12">
        <v>0.3921</v>
      </c>
      <c r="E61" s="12">
        <v>0.578</v>
      </c>
      <c r="F61" s="12">
        <v>0.499</v>
      </c>
      <c r="G61" s="10" t="str">
        <f t="shared" si="3"/>
        <v>FAILED</v>
      </c>
      <c r="H61" s="10" t="s">
        <v>83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2.5" customHeight="1">
      <c r="A62" s="8" t="s">
        <v>81</v>
      </c>
      <c r="B62" s="8" t="s">
        <v>82</v>
      </c>
      <c r="C62" s="8" t="s">
        <v>14</v>
      </c>
      <c r="D62" s="12">
        <v>0.7636</v>
      </c>
      <c r="E62" s="12">
        <v>0.546</v>
      </c>
      <c r="F62" s="12">
        <v>0.449</v>
      </c>
      <c r="G62" s="10" t="str">
        <f t="shared" si="3"/>
        <v>INCONCLUSIVE</v>
      </c>
      <c r="H62" s="10" t="s">
        <v>84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" t="s">
        <v>85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 t="s">
        <v>86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2.5" customHeight="1">
      <c r="A69" s="4" t="s">
        <v>2</v>
      </c>
      <c r="B69" s="4" t="s">
        <v>3</v>
      </c>
      <c r="C69" s="4" t="s">
        <v>4</v>
      </c>
      <c r="D69" s="4" t="s">
        <v>25</v>
      </c>
      <c r="E69" s="4" t="s">
        <v>6</v>
      </c>
      <c r="F69" s="4" t="s">
        <v>7</v>
      </c>
      <c r="G69" s="6" t="s">
        <v>8</v>
      </c>
      <c r="H69" s="6" t="s">
        <v>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2.5" customHeight="1">
      <c r="A70" s="8" t="s">
        <v>87</v>
      </c>
      <c r="B70" s="8" t="s">
        <v>88</v>
      </c>
      <c r="C70" s="8" t="s">
        <v>14</v>
      </c>
      <c r="D70" s="12">
        <v>0.6509</v>
      </c>
      <c r="E70" s="12">
        <v>0.827</v>
      </c>
      <c r="F70" s="12">
        <v>0.68</v>
      </c>
      <c r="G70" s="10" t="str">
        <f t="shared" ref="G70:G77" si="4">IF(D70&lt;=0.4,"FAILED",
   IF(D70&gt;=0.8,"PASSED",
      IF(E70&gt;=0.85,"FAILED",
         IF(E70&lt;0.5,"PASSED",
            "INCONCLUSIVE"))))</f>
        <v>INCONCLUSIVE</v>
      </c>
      <c r="H70" s="10" t="s">
        <v>89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2.5" customHeight="1">
      <c r="A71" s="8" t="s">
        <v>87</v>
      </c>
      <c r="B71" s="8" t="s">
        <v>88</v>
      </c>
      <c r="C71" s="8" t="s">
        <v>12</v>
      </c>
      <c r="D71" s="12">
        <v>0.6804</v>
      </c>
      <c r="E71" s="12">
        <v>0.673</v>
      </c>
      <c r="F71" s="12">
        <v>0.575</v>
      </c>
      <c r="G71" s="10" t="str">
        <f t="shared" si="4"/>
        <v>INCONCLUSIVE</v>
      </c>
      <c r="H71" s="10" t="s">
        <v>90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2.5" customHeight="1">
      <c r="A72" s="8" t="s">
        <v>91</v>
      </c>
      <c r="B72" s="8" t="s">
        <v>92</v>
      </c>
      <c r="C72" s="8" t="s">
        <v>12</v>
      </c>
      <c r="D72" s="12">
        <v>0.4663</v>
      </c>
      <c r="E72" s="12">
        <v>0.795</v>
      </c>
      <c r="F72" s="12">
        <v>0.78</v>
      </c>
      <c r="G72" s="10" t="str">
        <f t="shared" si="4"/>
        <v>INCONCLUSIVE</v>
      </c>
      <c r="H72" s="10" t="s">
        <v>93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2.5" customHeight="1">
      <c r="A73" s="8" t="s">
        <v>91</v>
      </c>
      <c r="B73" s="8" t="s">
        <v>92</v>
      </c>
      <c r="C73" s="8" t="s">
        <v>14</v>
      </c>
      <c r="D73" s="12">
        <v>0.7408</v>
      </c>
      <c r="E73" s="12">
        <v>0.833</v>
      </c>
      <c r="F73" s="12">
        <v>0.778</v>
      </c>
      <c r="G73" s="10" t="str">
        <f t="shared" si="4"/>
        <v>INCONCLUSIVE</v>
      </c>
      <c r="H73" s="10" t="s">
        <v>94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2.5" customHeight="1">
      <c r="A74" s="8" t="s">
        <v>95</v>
      </c>
      <c r="B74" s="8" t="s">
        <v>96</v>
      </c>
      <c r="C74" s="8" t="s">
        <v>12</v>
      </c>
      <c r="D74" s="12">
        <v>0.4562</v>
      </c>
      <c r="E74" s="12">
        <v>0.607</v>
      </c>
      <c r="F74" s="12">
        <v>0.528</v>
      </c>
      <c r="G74" s="10" t="str">
        <f t="shared" si="4"/>
        <v>INCONCLUSIVE</v>
      </c>
      <c r="H74" s="10" t="s">
        <v>97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2.5" customHeight="1">
      <c r="A75" s="8" t="s">
        <v>95</v>
      </c>
      <c r="B75" s="8" t="s">
        <v>96</v>
      </c>
      <c r="C75" s="8" t="s">
        <v>14</v>
      </c>
      <c r="D75" s="12">
        <v>0.7673</v>
      </c>
      <c r="E75" s="12">
        <v>0.486</v>
      </c>
      <c r="F75" s="12">
        <v>0.396</v>
      </c>
      <c r="G75" s="10" t="str">
        <f t="shared" si="4"/>
        <v>PASSED</v>
      </c>
      <c r="H75" s="10" t="s">
        <v>13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2.5" customHeight="1">
      <c r="A76" s="8" t="s">
        <v>98</v>
      </c>
      <c r="B76" s="8" t="s">
        <v>99</v>
      </c>
      <c r="C76" s="8" t="s">
        <v>12</v>
      </c>
      <c r="D76" s="12">
        <v>0.6111</v>
      </c>
      <c r="E76" s="12">
        <v>0.375</v>
      </c>
      <c r="F76" s="12">
        <v>0.334</v>
      </c>
      <c r="G76" s="10" t="str">
        <f t="shared" si="4"/>
        <v>PASSED</v>
      </c>
      <c r="H76" s="10" t="s">
        <v>13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2.5" customHeight="1">
      <c r="A77" s="8" t="s">
        <v>98</v>
      </c>
      <c r="B77" s="8" t="s">
        <v>99</v>
      </c>
      <c r="C77" s="8" t="s">
        <v>14</v>
      </c>
      <c r="D77" s="12">
        <v>0.9966</v>
      </c>
      <c r="E77" s="12">
        <v>0.478</v>
      </c>
      <c r="F77" s="12">
        <v>0.39</v>
      </c>
      <c r="G77" s="10" t="str">
        <f t="shared" si="4"/>
        <v>PASSED</v>
      </c>
      <c r="H77" s="10" t="s">
        <v>13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1" t="s">
        <v>100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 t="s">
        <v>101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2.5" customHeight="1">
      <c r="A85" s="4" t="s">
        <v>2</v>
      </c>
      <c r="B85" s="4" t="s">
        <v>3</v>
      </c>
      <c r="C85" s="4" t="s">
        <v>4</v>
      </c>
      <c r="D85" s="4" t="s">
        <v>25</v>
      </c>
      <c r="E85" s="4" t="s">
        <v>6</v>
      </c>
      <c r="F85" s="4" t="s">
        <v>7</v>
      </c>
      <c r="G85" s="6" t="s">
        <v>8</v>
      </c>
      <c r="H85" s="6" t="s">
        <v>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2.5" customHeight="1">
      <c r="A86" s="8" t="s">
        <v>102</v>
      </c>
      <c r="B86" s="8" t="s">
        <v>103</v>
      </c>
      <c r="C86" s="8" t="s">
        <v>12</v>
      </c>
      <c r="D86" s="12">
        <v>0.0565</v>
      </c>
      <c r="E86" s="12">
        <v>0.992</v>
      </c>
      <c r="F86" s="12">
        <v>0.815</v>
      </c>
      <c r="G86" s="10" t="str">
        <f t="shared" ref="G86:G93" si="5">IF(D86&lt;=0.4,"FAILED",
   IF(D86&gt;=0.8,"PASSED",
      IF(E86&gt;=0.85,"FAILED",
         IF(E86&lt;0.5,"PASSED",
            "INCONCLUSIVE"))))</f>
        <v>FAILED</v>
      </c>
      <c r="H86" s="10" t="s">
        <v>104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2.5" customHeight="1">
      <c r="A87" s="8" t="s">
        <v>102</v>
      </c>
      <c r="B87" s="8" t="s">
        <v>103</v>
      </c>
      <c r="C87" s="8" t="s">
        <v>14</v>
      </c>
      <c r="D87" s="12">
        <v>0.067</v>
      </c>
      <c r="E87" s="12">
        <v>0.996</v>
      </c>
      <c r="F87" s="12">
        <v>0.805</v>
      </c>
      <c r="G87" s="10" t="str">
        <f t="shared" si="5"/>
        <v>FAILED</v>
      </c>
      <c r="H87" s="10" t="s">
        <v>105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2.5" customHeight="1">
      <c r="A88" s="8" t="s">
        <v>106</v>
      </c>
      <c r="B88" s="8" t="s">
        <v>107</v>
      </c>
      <c r="C88" s="8" t="s">
        <v>12</v>
      </c>
      <c r="D88" s="12">
        <v>0.1705</v>
      </c>
      <c r="E88" s="12">
        <v>0.928</v>
      </c>
      <c r="F88" s="12">
        <v>0.786</v>
      </c>
      <c r="G88" s="10" t="str">
        <f t="shared" si="5"/>
        <v>FAILED</v>
      </c>
      <c r="H88" s="10" t="s">
        <v>108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22.5" customHeight="1">
      <c r="A89" s="8" t="s">
        <v>106</v>
      </c>
      <c r="B89" s="8" t="s">
        <v>107</v>
      </c>
      <c r="C89" s="8" t="s">
        <v>14</v>
      </c>
      <c r="D89" s="12">
        <v>0.2342</v>
      </c>
      <c r="E89" s="12">
        <v>0.955</v>
      </c>
      <c r="F89" s="12">
        <v>0.78</v>
      </c>
      <c r="G89" s="10" t="str">
        <f t="shared" si="5"/>
        <v>FAILED</v>
      </c>
      <c r="H89" s="10" t="s">
        <v>109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22.5" customHeight="1">
      <c r="A90" s="8" t="s">
        <v>110</v>
      </c>
      <c r="B90" s="8" t="s">
        <v>111</v>
      </c>
      <c r="C90" s="8" t="s">
        <v>12</v>
      </c>
      <c r="D90" s="12">
        <v>0.4291</v>
      </c>
      <c r="E90" s="12">
        <v>0.506</v>
      </c>
      <c r="F90" s="12">
        <v>0.451</v>
      </c>
      <c r="G90" s="10" t="str">
        <f t="shared" si="5"/>
        <v>INCONCLUSIVE</v>
      </c>
      <c r="H90" s="10" t="s">
        <v>112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22.5" customHeight="1">
      <c r="A91" s="8" t="s">
        <v>110</v>
      </c>
      <c r="B91" s="8" t="s">
        <v>111</v>
      </c>
      <c r="C91" s="8" t="s">
        <v>14</v>
      </c>
      <c r="D91" s="12">
        <v>0.936</v>
      </c>
      <c r="E91" s="12">
        <v>0.253</v>
      </c>
      <c r="F91" s="12">
        <v>0.194</v>
      </c>
      <c r="G91" s="10" t="str">
        <f t="shared" si="5"/>
        <v>PASSED</v>
      </c>
      <c r="H91" s="15" t="s">
        <v>13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22.5" customHeight="1">
      <c r="A92" s="8" t="s">
        <v>113</v>
      </c>
      <c r="B92" s="8" t="s">
        <v>114</v>
      </c>
      <c r="C92" s="8" t="s">
        <v>12</v>
      </c>
      <c r="D92" s="12">
        <v>0.5078</v>
      </c>
      <c r="E92" s="12">
        <v>0.34</v>
      </c>
      <c r="F92" s="12">
        <v>0.302</v>
      </c>
      <c r="G92" s="10" t="str">
        <f t="shared" si="5"/>
        <v>PASSED</v>
      </c>
      <c r="H92" s="15" t="s">
        <v>13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22.5" customHeight="1">
      <c r="A93" s="8" t="s">
        <v>113</v>
      </c>
      <c r="B93" s="8" t="s">
        <v>114</v>
      </c>
      <c r="C93" s="8" t="s">
        <v>14</v>
      </c>
      <c r="D93" s="12">
        <v>0.8754</v>
      </c>
      <c r="E93" s="12">
        <v>0.432</v>
      </c>
      <c r="F93" s="12">
        <v>0.341</v>
      </c>
      <c r="G93" s="10" t="str">
        <f t="shared" si="5"/>
        <v>PASSED</v>
      </c>
      <c r="H93" s="15" t="s">
        <v>13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G1000 H1:H90 I1:Y1000 H94:H1000">
    <cfRule type="containsText" dxfId="5" priority="1" operator="containsText" text="FAILED">
      <formula>NOT(ISERROR(SEARCH(("FAILED"),(A1))))</formula>
    </cfRule>
  </conditionalFormatting>
  <conditionalFormatting sqref="A1:G1000 H1:H90 I1:Y1000 H94:H1000">
    <cfRule type="containsText" dxfId="6" priority="2" operator="containsText" text="PASSED">
      <formula>NOT(ISERROR(SEARCH(("PASSED"),(A1))))</formula>
    </cfRule>
  </conditionalFormatting>
  <conditionalFormatting sqref="A1:G1000 H1:H90 I1:Z1000 H94:H1000">
    <cfRule type="cellIs" dxfId="7" priority="3" operator="equal">
      <formula>"INCONCLUSIVE"</formula>
    </cfRule>
  </conditionalFormatting>
  <dataValidations>
    <dataValidation type="list" allowBlank="1" showDropDown="1" showErrorMessage="1" sqref="C6:C13 C22:C29 C70:C77 C86:C93">
      <formula1>"Module 1,Module 2"</formula1>
    </dataValidation>
    <dataValidation type="custom" allowBlank="1" showDropDown="1" sqref="D6:F13 D22:F29 D39:F62 D70:F77 D86:F93">
      <formula1>AND(ISNUMBER(D6),(NOT(OR(NOT(ISERROR(DATEVALUE(D6))), AND(ISNUMBER(D6), LEFT(CELL("format", D6))="D")))))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8.0"/>
    <col customWidth="1" min="3" max="3" width="19.0"/>
    <col customWidth="1" min="4" max="4" width="14.25"/>
    <col customWidth="1" min="5" max="5" width="28.88"/>
    <col customWidth="1" min="6" max="6" width="24.63"/>
    <col customWidth="1" min="7" max="7" width="17.0"/>
    <col customWidth="1" min="8" max="8" width="98.0"/>
  </cols>
  <sheetData>
    <row r="1" ht="15.75" customHeight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4"/>
      <c r="B2" s="14"/>
      <c r="C2" s="14"/>
      <c r="D2" s="14"/>
      <c r="E2" s="14"/>
      <c r="F2" s="14"/>
      <c r="G2" s="1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4" t="s">
        <v>2</v>
      </c>
      <c r="B3" s="4" t="s">
        <v>116</v>
      </c>
      <c r="C3" s="4" t="s">
        <v>117</v>
      </c>
      <c r="D3" s="4" t="s">
        <v>25</v>
      </c>
      <c r="E3" s="4" t="s">
        <v>6</v>
      </c>
      <c r="F3" s="4" t="s">
        <v>7</v>
      </c>
      <c r="G3" s="4" t="s">
        <v>8</v>
      </c>
      <c r="H3" s="4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10" t="s">
        <v>118</v>
      </c>
      <c r="B4" s="10" t="s">
        <v>119</v>
      </c>
      <c r="C4" s="10" t="s">
        <v>120</v>
      </c>
      <c r="D4" s="16">
        <v>0.6804</v>
      </c>
      <c r="E4" s="16">
        <v>0.673</v>
      </c>
      <c r="F4" s="16">
        <v>0.575</v>
      </c>
      <c r="G4" s="10" t="str">
        <f t="shared" ref="G4:G13" si="1">IF(D4&lt;=0.4,"FAILED",
   IF(D4&gt;=0.8,"PASSED",
      IF(E4&gt;=0.85,"FAILED",
         IF(E4&lt;0.5,"PASSED",
            "INCONCLUSIVE"))))</f>
        <v>INCONCLUSIVE</v>
      </c>
      <c r="H4" s="10" t="s">
        <v>121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10" t="s">
        <v>118</v>
      </c>
      <c r="B5" s="10" t="s">
        <v>119</v>
      </c>
      <c r="C5" s="10" t="s">
        <v>122</v>
      </c>
      <c r="D5" s="16">
        <v>0.6509</v>
      </c>
      <c r="E5" s="16">
        <v>0.827</v>
      </c>
      <c r="F5" s="16">
        <v>0.68</v>
      </c>
      <c r="G5" s="10" t="str">
        <f t="shared" si="1"/>
        <v>INCONCLUSIVE</v>
      </c>
      <c r="H5" s="10" t="s">
        <v>123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10" t="s">
        <v>124</v>
      </c>
      <c r="B6" s="10" t="s">
        <v>125</v>
      </c>
      <c r="C6" s="10" t="s">
        <v>120</v>
      </c>
      <c r="D6" s="16">
        <v>0.6885</v>
      </c>
      <c r="E6" s="16">
        <v>0.669</v>
      </c>
      <c r="F6" s="16">
        <v>0.571</v>
      </c>
      <c r="G6" s="10" t="str">
        <f t="shared" si="1"/>
        <v>INCONCLUSIVE</v>
      </c>
      <c r="H6" s="10" t="s">
        <v>126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10" t="s">
        <v>124</v>
      </c>
      <c r="B7" s="10" t="s">
        <v>125</v>
      </c>
      <c r="C7" s="10" t="s">
        <v>122</v>
      </c>
      <c r="D7" s="16">
        <v>0.6519</v>
      </c>
      <c r="E7" s="16">
        <v>0.827</v>
      </c>
      <c r="F7" s="16">
        <v>0.681</v>
      </c>
      <c r="G7" s="10" t="str">
        <f t="shared" si="1"/>
        <v>INCONCLUSIVE</v>
      </c>
      <c r="H7" s="10" t="s">
        <v>127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0" t="s">
        <v>128</v>
      </c>
      <c r="B8" s="10" t="s">
        <v>129</v>
      </c>
      <c r="C8" s="10" t="s">
        <v>120</v>
      </c>
      <c r="D8" s="16">
        <v>0.7584</v>
      </c>
      <c r="E8" s="16">
        <v>0.73</v>
      </c>
      <c r="F8" s="16">
        <v>0.701</v>
      </c>
      <c r="G8" s="10" t="str">
        <f t="shared" si="1"/>
        <v>INCONCLUSIVE</v>
      </c>
      <c r="H8" s="10" t="s">
        <v>130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10" t="s">
        <v>128</v>
      </c>
      <c r="B9" s="10" t="s">
        <v>129</v>
      </c>
      <c r="C9" s="10" t="s">
        <v>122</v>
      </c>
      <c r="D9" s="16">
        <v>1.237</v>
      </c>
      <c r="E9" s="16">
        <v>0.788</v>
      </c>
      <c r="F9" s="16">
        <v>0.751</v>
      </c>
      <c r="G9" s="10" t="str">
        <f t="shared" si="1"/>
        <v>PASSED</v>
      </c>
      <c r="H9" s="10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10" t="s">
        <v>131</v>
      </c>
      <c r="B10" s="10" t="s">
        <v>132</v>
      </c>
      <c r="C10" s="10" t="s">
        <v>120</v>
      </c>
      <c r="D10" s="16">
        <v>0.7969</v>
      </c>
      <c r="E10" s="16">
        <v>0.71</v>
      </c>
      <c r="F10" s="16">
        <v>0.665</v>
      </c>
      <c r="G10" s="10" t="str">
        <f t="shared" si="1"/>
        <v>INCONCLUSIVE</v>
      </c>
      <c r="H10" s="10" t="s">
        <v>133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10" t="s">
        <v>131</v>
      </c>
      <c r="B11" s="10" t="s">
        <v>132</v>
      </c>
      <c r="C11" s="10" t="s">
        <v>122</v>
      </c>
      <c r="D11" s="16">
        <v>1.3692</v>
      </c>
      <c r="E11" s="16">
        <v>0.759</v>
      </c>
      <c r="F11" s="16">
        <v>0.711</v>
      </c>
      <c r="G11" s="10" t="str">
        <f t="shared" si="1"/>
        <v>PASSED</v>
      </c>
      <c r="H11" s="10" t="s">
        <v>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10" t="s">
        <v>134</v>
      </c>
      <c r="B12" s="10" t="s">
        <v>135</v>
      </c>
      <c r="C12" s="10" t="s">
        <v>120</v>
      </c>
      <c r="D12" s="16">
        <v>0.7767</v>
      </c>
      <c r="E12" s="16">
        <v>0.707</v>
      </c>
      <c r="F12" s="16">
        <v>0.649</v>
      </c>
      <c r="G12" s="10" t="str">
        <f t="shared" si="1"/>
        <v>INCONCLUSIVE</v>
      </c>
      <c r="H12" s="10" t="s">
        <v>136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10" t="s">
        <v>134</v>
      </c>
      <c r="B13" s="10" t="s">
        <v>135</v>
      </c>
      <c r="C13" s="10" t="s">
        <v>122</v>
      </c>
      <c r="D13" s="16">
        <v>1.2955</v>
      </c>
      <c r="E13" s="16">
        <v>0.763</v>
      </c>
      <c r="F13" s="16">
        <v>0.712</v>
      </c>
      <c r="G13" s="10" t="str">
        <f t="shared" si="1"/>
        <v>PASSED</v>
      </c>
      <c r="H13" s="10" t="s">
        <v>13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" t="s">
        <v>137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4"/>
      <c r="B18" s="14"/>
      <c r="C18" s="14"/>
      <c r="D18" s="14"/>
      <c r="E18" s="14"/>
      <c r="F18" s="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2.5" customHeight="1">
      <c r="A19" s="4" t="s">
        <v>2</v>
      </c>
      <c r="B19" s="4" t="s">
        <v>116</v>
      </c>
      <c r="C19" s="4" t="s">
        <v>117</v>
      </c>
      <c r="D19" s="4" t="s">
        <v>25</v>
      </c>
      <c r="E19" s="4" t="s">
        <v>6</v>
      </c>
      <c r="F19" s="4" t="s">
        <v>7</v>
      </c>
      <c r="G19" s="6" t="s">
        <v>8</v>
      </c>
      <c r="H19" s="6" t="s">
        <v>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2.5" customHeight="1">
      <c r="A20" s="10" t="s">
        <v>138</v>
      </c>
      <c r="B20" s="10" t="s">
        <v>139</v>
      </c>
      <c r="C20" s="10" t="s">
        <v>120</v>
      </c>
      <c r="D20" s="16">
        <v>0.436</v>
      </c>
      <c r="E20" s="16">
        <v>0.282</v>
      </c>
      <c r="F20" s="16">
        <v>0.231</v>
      </c>
      <c r="G20" s="10" t="str">
        <f t="shared" ref="G20:G23" si="2">IF(D20&lt;=0.4,"PASSED",
   IF(D20&gt;=0.8,"FAILED",
      IF(E20&gt;=0.85,"PASSED",
         IF(E20&lt;0.5,"FAILED",
            "INCONCLUSIVE"))))</f>
        <v>FAILED</v>
      </c>
      <c r="H20" s="10" t="s">
        <v>140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10" t="s">
        <v>138</v>
      </c>
      <c r="B21" s="10" t="s">
        <v>139</v>
      </c>
      <c r="C21" s="10" t="s">
        <v>122</v>
      </c>
      <c r="D21" s="16">
        <v>0.792</v>
      </c>
      <c r="E21" s="16">
        <v>0.364</v>
      </c>
      <c r="F21" s="16">
        <v>0.293</v>
      </c>
      <c r="G21" s="10" t="str">
        <f t="shared" si="2"/>
        <v>FAILED</v>
      </c>
      <c r="H21" s="10" t="s">
        <v>141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10" t="s">
        <v>142</v>
      </c>
      <c r="B22" s="10" t="s">
        <v>143</v>
      </c>
      <c r="C22" s="10" t="s">
        <v>120</v>
      </c>
      <c r="D22" s="16">
        <v>0.436</v>
      </c>
      <c r="E22" s="16">
        <v>0.282</v>
      </c>
      <c r="F22" s="16">
        <v>0.231</v>
      </c>
      <c r="G22" s="10" t="str">
        <f t="shared" si="2"/>
        <v>FAILED</v>
      </c>
      <c r="H22" s="10" t="s">
        <v>144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10" t="s">
        <v>142</v>
      </c>
      <c r="B23" s="10" t="s">
        <v>143</v>
      </c>
      <c r="C23" s="10" t="s">
        <v>122</v>
      </c>
      <c r="D23" s="16">
        <v>0.792</v>
      </c>
      <c r="E23" s="16">
        <v>0.364</v>
      </c>
      <c r="F23" s="16">
        <v>0.293</v>
      </c>
      <c r="G23" s="10" t="str">
        <f t="shared" si="2"/>
        <v>FAILED</v>
      </c>
      <c r="H23" s="10" t="s">
        <v>145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 t="s">
        <v>146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4"/>
      <c r="B28" s="14"/>
      <c r="C28" s="14"/>
      <c r="D28" s="14"/>
      <c r="E28" s="14"/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4" t="s">
        <v>2</v>
      </c>
      <c r="B29" s="4" t="s">
        <v>116</v>
      </c>
      <c r="C29" s="4" t="s">
        <v>117</v>
      </c>
      <c r="D29" s="4" t="s">
        <v>25</v>
      </c>
      <c r="E29" s="4" t="s">
        <v>6</v>
      </c>
      <c r="F29" s="4" t="s">
        <v>7</v>
      </c>
      <c r="G29" s="6" t="s">
        <v>8</v>
      </c>
      <c r="H29" s="6" t="s">
        <v>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10" t="s">
        <v>147</v>
      </c>
      <c r="B30" s="10" t="s">
        <v>148</v>
      </c>
      <c r="C30" s="10" t="s">
        <v>120</v>
      </c>
      <c r="D30" s="16">
        <v>0.3569</v>
      </c>
      <c r="E30" s="16">
        <v>0.635</v>
      </c>
      <c r="F30" s="16">
        <v>0.446</v>
      </c>
      <c r="G30" s="10" t="str">
        <f>IF(D30&lt;=0.4,"FAILED",
   IF(D30&gt;=0.8,"PASSED",
      IF(E30&gt;=0.85,"FAILED",
         IF(E30&lt;0.5,"PASSED",
            "INCONCLUSIVE"))))</f>
        <v>FAILED</v>
      </c>
      <c r="H30" s="10" t="s">
        <v>149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2.5" customHeight="1">
      <c r="A31" s="10" t="s">
        <v>147</v>
      </c>
      <c r="B31" s="10" t="s">
        <v>148</v>
      </c>
      <c r="C31" s="10" t="s">
        <v>122</v>
      </c>
      <c r="D31" s="16">
        <v>0.5916</v>
      </c>
      <c r="E31" s="16">
        <v>0.66</v>
      </c>
      <c r="F31" s="16">
        <v>0.443</v>
      </c>
      <c r="G31" s="10" t="str">
        <f>IF(D5&lt;=0.4,"FAILED",
   IF(D5&gt;=0.8,"PASSED",
      IF(E5&gt;=0.85,"FAILED",
         IF(E5&lt;0.5,"PASSED",
            "INCONCLUSIVE"))))</f>
        <v>INCONCLUSIVE</v>
      </c>
      <c r="H31" s="10" t="s">
        <v>150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 t="s">
        <v>151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4"/>
      <c r="B36" s="14"/>
      <c r="C36" s="14"/>
      <c r="D36" s="14"/>
      <c r="E36" s="14"/>
      <c r="F36" s="1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2.5" customHeight="1">
      <c r="A37" s="4" t="s">
        <v>2</v>
      </c>
      <c r="B37" s="4" t="s">
        <v>152</v>
      </c>
      <c r="C37" s="4" t="s">
        <v>117</v>
      </c>
      <c r="D37" s="4" t="s">
        <v>25</v>
      </c>
      <c r="E37" s="4" t="s">
        <v>6</v>
      </c>
      <c r="F37" s="4" t="s">
        <v>7</v>
      </c>
      <c r="G37" s="6" t="s">
        <v>8</v>
      </c>
      <c r="H37" s="6" t="s">
        <v>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2.5" customHeight="1">
      <c r="A38" s="10" t="s">
        <v>153</v>
      </c>
      <c r="B38" s="10">
        <v>1.0</v>
      </c>
      <c r="C38" s="10" t="s">
        <v>120</v>
      </c>
      <c r="D38" s="16">
        <v>0.1062</v>
      </c>
      <c r="E38" s="16">
        <v>0.971</v>
      </c>
      <c r="F38" s="16">
        <v>0.81</v>
      </c>
      <c r="G38" s="10" t="str">
        <f t="shared" ref="G38:G47" si="3">IF(D38&lt;=0.4,"FAILED",
   IF(D38&gt;=0.8,"PASSED",
      IF(E38&gt;=0.85,"FAILED",
         IF(E38&lt;0.5,"PASSED",
            "INCONCLUSIVE"))))</f>
        <v>FAILED</v>
      </c>
      <c r="H38" s="10" t="s">
        <v>154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2.5" customHeight="1">
      <c r="A39" s="10" t="s">
        <v>153</v>
      </c>
      <c r="B39" s="10">
        <v>1.0</v>
      </c>
      <c r="C39" s="10" t="s">
        <v>122</v>
      </c>
      <c r="D39" s="16">
        <v>0.1331</v>
      </c>
      <c r="E39" s="16">
        <v>0.985</v>
      </c>
      <c r="F39" s="16">
        <v>0.795</v>
      </c>
      <c r="G39" s="10" t="str">
        <f t="shared" si="3"/>
        <v>FAILED</v>
      </c>
      <c r="H39" s="10" t="s">
        <v>155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2.5" customHeight="1">
      <c r="A40" s="10" t="s">
        <v>156</v>
      </c>
      <c r="B40" s="10">
        <v>5.0</v>
      </c>
      <c r="C40" s="10" t="s">
        <v>120</v>
      </c>
      <c r="D40" s="16">
        <v>0.2196</v>
      </c>
      <c r="E40" s="16">
        <v>0.873</v>
      </c>
      <c r="F40" s="16">
        <v>0.719</v>
      </c>
      <c r="G40" s="10" t="str">
        <f t="shared" si="3"/>
        <v>FAILED</v>
      </c>
      <c r="H40" s="10" t="s">
        <v>157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2.5" customHeight="1">
      <c r="A41" s="10" t="s">
        <v>156</v>
      </c>
      <c r="B41" s="10">
        <v>5.0</v>
      </c>
      <c r="C41" s="10" t="s">
        <v>122</v>
      </c>
      <c r="D41" s="16">
        <v>0.3173</v>
      </c>
      <c r="E41" s="16">
        <v>0.911</v>
      </c>
      <c r="F41" s="16">
        <v>0.735</v>
      </c>
      <c r="G41" s="10" t="str">
        <f t="shared" si="3"/>
        <v>FAILED</v>
      </c>
      <c r="H41" s="10" t="s">
        <v>158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2.5" customHeight="1">
      <c r="A42" s="10" t="s">
        <v>159</v>
      </c>
      <c r="B42" s="10">
        <v>10.0</v>
      </c>
      <c r="C42" s="10" t="s">
        <v>120</v>
      </c>
      <c r="D42" s="16">
        <v>0.287</v>
      </c>
      <c r="E42" s="16">
        <v>0.777</v>
      </c>
      <c r="F42" s="16">
        <v>0.625</v>
      </c>
      <c r="G42" s="10" t="str">
        <f t="shared" si="3"/>
        <v>FAILED</v>
      </c>
      <c r="H42" s="10" t="s">
        <v>160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2.5" customHeight="1">
      <c r="A43" s="10" t="s">
        <v>159</v>
      </c>
      <c r="B43" s="10">
        <v>10.0</v>
      </c>
      <c r="C43" s="10" t="s">
        <v>122</v>
      </c>
      <c r="D43" s="16">
        <v>0.4046</v>
      </c>
      <c r="E43" s="16">
        <v>0.853</v>
      </c>
      <c r="F43" s="16">
        <v>0.676</v>
      </c>
      <c r="G43" s="10" t="str">
        <f t="shared" si="3"/>
        <v>FAILED</v>
      </c>
      <c r="H43" s="10" t="s">
        <v>161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2.5" customHeight="1">
      <c r="A44" s="10" t="s">
        <v>162</v>
      </c>
      <c r="B44" s="10">
        <v>25.0</v>
      </c>
      <c r="C44" s="10" t="s">
        <v>120</v>
      </c>
      <c r="D44" s="16">
        <v>0.3559</v>
      </c>
      <c r="E44" s="16">
        <v>0.645</v>
      </c>
      <c r="F44" s="16">
        <v>0.502</v>
      </c>
      <c r="G44" s="10" t="str">
        <f t="shared" si="3"/>
        <v>FAILED</v>
      </c>
      <c r="H44" s="10" t="s">
        <v>163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2.5" customHeight="1">
      <c r="A45" s="10" t="s">
        <v>162</v>
      </c>
      <c r="B45" s="10">
        <v>25.0</v>
      </c>
      <c r="C45" s="10" t="s">
        <v>122</v>
      </c>
      <c r="D45" s="16">
        <v>0.5248</v>
      </c>
      <c r="E45" s="16">
        <v>0.753</v>
      </c>
      <c r="F45" s="16">
        <v>0.587</v>
      </c>
      <c r="G45" s="10" t="str">
        <f t="shared" si="3"/>
        <v>INCONCLUSIVE</v>
      </c>
      <c r="H45" s="10" t="s">
        <v>164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2.5" customHeight="1">
      <c r="A46" s="10" t="s">
        <v>165</v>
      </c>
      <c r="B46" s="10">
        <v>50.0</v>
      </c>
      <c r="C46" s="10" t="s">
        <v>120</v>
      </c>
      <c r="D46" s="16">
        <v>0.4265</v>
      </c>
      <c r="E46" s="16">
        <v>0.488</v>
      </c>
      <c r="F46" s="16">
        <v>0.391</v>
      </c>
      <c r="G46" s="10" t="str">
        <f t="shared" si="3"/>
        <v>PASSED</v>
      </c>
      <c r="H46" s="10" t="s">
        <v>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2.5" customHeight="1">
      <c r="A47" s="10" t="s">
        <v>165</v>
      </c>
      <c r="B47" s="10">
        <v>50.0</v>
      </c>
      <c r="C47" s="10" t="s">
        <v>122</v>
      </c>
      <c r="D47" s="16">
        <v>0.5931</v>
      </c>
      <c r="E47" s="16">
        <v>0.69</v>
      </c>
      <c r="F47" s="16">
        <v>0.547</v>
      </c>
      <c r="G47" s="10" t="str">
        <f t="shared" si="3"/>
        <v>INCONCLUSIVE</v>
      </c>
      <c r="H47" s="10" t="s">
        <v>166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Y1000">
    <cfRule type="containsText" dxfId="6" priority="1" operator="containsText" text="PASSED">
      <formula>NOT(ISERROR(SEARCH(("PASSED"),(A1))))</formula>
    </cfRule>
  </conditionalFormatting>
  <conditionalFormatting sqref="A1:Y1000">
    <cfRule type="containsText" dxfId="5" priority="2" operator="containsText" text="FAILED">
      <formula>NOT(ISERROR(SEARCH(("FAILED"),(A1))))</formula>
    </cfRule>
  </conditionalFormatting>
  <dataValidations>
    <dataValidation type="list" allowBlank="1" showDropDown="1" showErrorMessage="1" sqref="C4:C13 C38:C47">
      <formula1>"Ethanol,Gasoline"</formula1>
    </dataValidation>
    <dataValidation type="custom" allowBlank="1" showDropDown="1" sqref="D4:F13 D20:F23 D30:F31 B38:B47 D38:F47">
      <formula1>AND(ISNUMBER(B4),(NOT(OR(NOT(ISERROR(DATEVALUE(B4))), AND(ISNUMBER(B4), LEFT(CELL("format", B4))="D")))))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38"/>
    <col customWidth="1" min="2" max="2" width="15.75"/>
    <col customWidth="1" min="3" max="3" width="12.63"/>
    <col customWidth="1" min="4" max="4" width="25.63"/>
    <col customWidth="1" min="5" max="5" width="21.38"/>
    <col customWidth="1" min="6" max="6" width="12.63"/>
  </cols>
  <sheetData>
    <row r="1" ht="15.75" customHeight="1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4"/>
      <c r="B2" s="14"/>
      <c r="C2" s="14"/>
      <c r="D2" s="14"/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7" t="s">
        <v>2</v>
      </c>
      <c r="B3" s="17" t="s">
        <v>117</v>
      </c>
      <c r="C3" s="18" t="s">
        <v>25</v>
      </c>
      <c r="D3" s="18" t="s">
        <v>6</v>
      </c>
      <c r="E3" s="18" t="s">
        <v>7</v>
      </c>
      <c r="F3" s="19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20" t="s">
        <v>168</v>
      </c>
      <c r="B4" s="20" t="s">
        <v>120</v>
      </c>
      <c r="C4" s="21">
        <v>0.5474</v>
      </c>
      <c r="D4" s="21">
        <v>0.471</v>
      </c>
      <c r="E4" s="21">
        <v>0.373</v>
      </c>
      <c r="F4" s="20" t="str">
        <f t="shared" ref="F4:F5" si="1">IF(C4&lt;=0.4,"FAILED",
   IF(C4&gt;=0.8,"PASSED",
      IF(D4&gt;=0.85,"FAILED",
         IF(D4&lt;0.5,"PASSED",
            "INCONCLUSIVE"))))</f>
        <v>PASSED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20" t="s">
        <v>168</v>
      </c>
      <c r="B5" s="20" t="s">
        <v>122</v>
      </c>
      <c r="C5" s="21">
        <v>0.9451</v>
      </c>
      <c r="D5" s="21">
        <v>0.55</v>
      </c>
      <c r="E5" s="21">
        <v>0.412</v>
      </c>
      <c r="F5" s="20" t="str">
        <f t="shared" si="1"/>
        <v>PASSED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169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4"/>
      <c r="B10" s="14"/>
      <c r="C10" s="14"/>
      <c r="D10" s="14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7" t="s">
        <v>2</v>
      </c>
      <c r="B11" s="17" t="s">
        <v>117</v>
      </c>
      <c r="C11" s="18" t="s">
        <v>25</v>
      </c>
      <c r="D11" s="18" t="s">
        <v>6</v>
      </c>
      <c r="E11" s="18" t="s">
        <v>7</v>
      </c>
      <c r="F11" s="19" t="s">
        <v>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20" t="s">
        <v>170</v>
      </c>
      <c r="B12" s="20" t="s">
        <v>120</v>
      </c>
      <c r="C12" s="21">
        <v>0.9333</v>
      </c>
      <c r="D12" s="21">
        <v>0.174</v>
      </c>
      <c r="E12" s="21">
        <v>0.14</v>
      </c>
      <c r="F12" s="20" t="str">
        <f t="shared" ref="F12:F13" si="2">IF(C12&lt;=0.4,"FAILED",
   IF(C12&gt;=0.8,"PASSED",
      IF(D12&gt;=0.85,"FAILED",
         IF(D12&lt;0.5,"PASSED",
            "INCONCLUSIVE"))))</f>
        <v>PASSED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20" t="s">
        <v>170</v>
      </c>
      <c r="B13" s="20" t="s">
        <v>122</v>
      </c>
      <c r="C13" s="21">
        <v>0.7613</v>
      </c>
      <c r="D13" s="21">
        <v>0.489</v>
      </c>
      <c r="E13" s="21">
        <v>0.362</v>
      </c>
      <c r="F13" s="20" t="str">
        <f t="shared" si="2"/>
        <v>PASSED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171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4"/>
      <c r="B19" s="14"/>
      <c r="C19" s="14"/>
      <c r="D19" s="14"/>
      <c r="E19" s="1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17" t="s">
        <v>2</v>
      </c>
      <c r="B20" s="17" t="s">
        <v>117</v>
      </c>
      <c r="C20" s="18" t="s">
        <v>25</v>
      </c>
      <c r="D20" s="18" t="s">
        <v>6</v>
      </c>
      <c r="E20" s="18" t="s">
        <v>7</v>
      </c>
      <c r="F20" s="19" t="s"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20" t="s">
        <v>172</v>
      </c>
      <c r="B21" s="20" t="s">
        <v>120</v>
      </c>
      <c r="C21" s="22">
        <v>0.5838</v>
      </c>
      <c r="D21" s="22">
        <v>0.231</v>
      </c>
      <c r="E21" s="22">
        <v>0.203</v>
      </c>
      <c r="F21" s="20" t="str">
        <f t="shared" ref="F21:F22" si="3">IF(C21&lt;=0.4,"FAILED",
   IF(C21&gt;=0.8,"PASSED",
      IF(D21&gt;=0.85,"FAILED",
         IF(D21&lt;0.5,"PASSED",
            "INCONCLUSIVE"))))</f>
        <v>PASSED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0" t="s">
        <v>172</v>
      </c>
      <c r="B22" s="20" t="s">
        <v>122</v>
      </c>
      <c r="C22" s="22">
        <v>0.8744</v>
      </c>
      <c r="D22" s="22">
        <v>0.214</v>
      </c>
      <c r="E22" s="22">
        <v>0.169</v>
      </c>
      <c r="F22" s="20" t="str">
        <f t="shared" si="3"/>
        <v>PASSED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173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/>
      <c r="B29" s="14"/>
      <c r="C29" s="14"/>
      <c r="D29" s="14"/>
      <c r="E29" s="1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17" t="s">
        <v>2</v>
      </c>
      <c r="B30" s="17" t="s">
        <v>117</v>
      </c>
      <c r="C30" s="18" t="s">
        <v>25</v>
      </c>
      <c r="D30" s="18" t="s">
        <v>6</v>
      </c>
      <c r="E30" s="18" t="s">
        <v>7</v>
      </c>
      <c r="F30" s="19" t="s">
        <v>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20" t="s">
        <v>174</v>
      </c>
      <c r="B31" s="20" t="s">
        <v>120</v>
      </c>
      <c r="C31" s="20">
        <v>0.9879</v>
      </c>
      <c r="D31" s="20">
        <v>0.338</v>
      </c>
      <c r="E31" s="20">
        <v>0.305</v>
      </c>
      <c r="F31" s="20" t="str">
        <f t="shared" ref="F31:F32" si="4">IF(C31&lt;=0.4,"FAILED",
   IF(C31&gt;=0.8,"PASSED",
      IF(D31&gt;=0.85,"FAILED",
         IF(D31&lt;0.5,"PASSED",
            "INCONCLUSIVE"))))</f>
        <v>PASSED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20" t="s">
        <v>174</v>
      </c>
      <c r="B32" s="20" t="s">
        <v>122</v>
      </c>
      <c r="C32" s="20">
        <v>1.0376</v>
      </c>
      <c r="D32" s="20">
        <v>0.544</v>
      </c>
      <c r="E32" s="20">
        <v>0.409</v>
      </c>
      <c r="F32" s="20" t="str">
        <f t="shared" si="4"/>
        <v>PASSED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Z1000">
    <cfRule type="containsText" dxfId="6" priority="1" operator="containsText" text="PASSED">
      <formula>NOT(ISERROR(SEARCH(("PASSED"),(A1))))</formula>
    </cfRule>
  </conditionalFormatting>
  <conditionalFormatting sqref="A1:Z1000">
    <cfRule type="containsText" dxfId="5" priority="2" operator="containsText" text="FAILED">
      <formula>NOT(ISERROR(SEARCH(("FAILED"),(A1))))</formula>
    </cfRule>
  </conditionalFormatting>
  <dataValidations>
    <dataValidation type="custom" allowBlank="1" showDropDown="1" sqref="C4:E5 C12:E13 C21:E22">
      <formula1>AND(ISNUMBER(C4),(NOT(OR(NOT(ISERROR(DATEVALUE(C4))), AND(ISNUMBER(C4), LEFT(CELL("format", C4))="D")))))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4" width="12.63"/>
    <col customWidth="1" min="5" max="5" width="17.25"/>
    <col customWidth="1" min="6" max="6" width="15.25"/>
  </cols>
  <sheetData>
    <row r="1" ht="22.5" customHeight="1">
      <c r="A1" s="23" t="s">
        <v>175</v>
      </c>
      <c r="B1" s="23" t="s">
        <v>176</v>
      </c>
      <c r="C1" s="23" t="s">
        <v>177</v>
      </c>
      <c r="D1" s="23" t="s">
        <v>178</v>
      </c>
      <c r="E1" s="24" t="s">
        <v>179</v>
      </c>
      <c r="F1" s="24" t="s">
        <v>180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2.5" customHeight="1">
      <c r="A2" s="26" t="s">
        <v>181</v>
      </c>
      <c r="B2" s="26">
        <v>56.0</v>
      </c>
      <c r="C2" s="26">
        <v>26.0</v>
      </c>
      <c r="D2" s="26">
        <v>8.0</v>
      </c>
      <c r="E2" s="26">
        <f t="shared" ref="E2:E5" si="1">SUM(B2:D2)</f>
        <v>90</v>
      </c>
      <c r="F2" s="27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2.5" customHeight="1">
      <c r="A3" s="26" t="s">
        <v>182</v>
      </c>
      <c r="B3" s="28">
        <v>17.0</v>
      </c>
      <c r="C3" s="28">
        <v>4.0</v>
      </c>
      <c r="D3" s="28">
        <v>8.0</v>
      </c>
      <c r="E3" s="28">
        <f t="shared" si="1"/>
        <v>29</v>
      </c>
      <c r="F3" s="29">
        <f>E3/E2</f>
        <v>0.3222222222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2.5" customHeight="1">
      <c r="A4" s="26" t="s">
        <v>183</v>
      </c>
      <c r="B4" s="30">
        <v>22.0</v>
      </c>
      <c r="C4" s="30">
        <v>12.0</v>
      </c>
      <c r="D4" s="30">
        <v>0.0</v>
      </c>
      <c r="E4" s="30">
        <f t="shared" si="1"/>
        <v>34</v>
      </c>
      <c r="F4" s="31">
        <f>E4/E2</f>
        <v>0.3777777778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2.5" customHeight="1">
      <c r="A5" s="26" t="s">
        <v>184</v>
      </c>
      <c r="B5" s="26">
        <v>17.0</v>
      </c>
      <c r="C5" s="26">
        <v>10.0</v>
      </c>
      <c r="D5" s="26">
        <v>0.0</v>
      </c>
      <c r="E5" s="26">
        <f t="shared" si="1"/>
        <v>27</v>
      </c>
      <c r="F5" s="27">
        <f>E5/E2</f>
        <v>0.3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32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5"/>
      <c r="B11" s="25"/>
      <c r="C11" s="25"/>
      <c r="D11" s="25"/>
      <c r="E11" s="25"/>
      <c r="F11" s="25"/>
      <c r="G11" s="25"/>
      <c r="H11" s="3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5"/>
      <c r="B12" s="25"/>
      <c r="C12" s="25"/>
      <c r="D12" s="25"/>
      <c r="E12" s="25"/>
      <c r="F12" s="25"/>
      <c r="G12" s="25"/>
      <c r="H12" s="32"/>
      <c r="I12" s="32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5"/>
      <c r="B13" s="25"/>
      <c r="C13" s="25"/>
      <c r="D13" s="25"/>
      <c r="E13" s="25"/>
      <c r="F13" s="25"/>
      <c r="G13" s="25"/>
      <c r="H13" s="32"/>
      <c r="I13" s="32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F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</cols>
  <sheetData>
    <row r="1" ht="22.5" customHeight="1">
      <c r="A1" s="33" t="s">
        <v>185</v>
      </c>
      <c r="B1" s="33" t="s">
        <v>176</v>
      </c>
      <c r="C1" s="33" t="s">
        <v>177</v>
      </c>
      <c r="D1" s="33" t="s">
        <v>178</v>
      </c>
      <c r="E1" s="34" t="s">
        <v>186</v>
      </c>
    </row>
    <row r="2" ht="22.5" customHeight="1">
      <c r="A2" s="33" t="s">
        <v>187</v>
      </c>
      <c r="B2" s="33">
        <v>0.0</v>
      </c>
      <c r="C2" s="33">
        <v>4.0</v>
      </c>
      <c r="D2" s="33">
        <v>4.0</v>
      </c>
      <c r="E2" s="35">
        <f t="shared" ref="E2:E9" si="1">SUM(B2:D2)</f>
        <v>8</v>
      </c>
    </row>
    <row r="3" ht="22.5" customHeight="1">
      <c r="A3" s="33" t="s">
        <v>188</v>
      </c>
      <c r="B3" s="33">
        <v>16.0</v>
      </c>
      <c r="C3" s="33">
        <v>0.0</v>
      </c>
      <c r="D3" s="33">
        <v>0.0</v>
      </c>
      <c r="E3" s="35">
        <f t="shared" si="1"/>
        <v>16</v>
      </c>
    </row>
    <row r="4" ht="22.5" customHeight="1">
      <c r="A4" s="33" t="s">
        <v>189</v>
      </c>
      <c r="B4" s="33">
        <v>0.0</v>
      </c>
      <c r="C4" s="33">
        <v>0.0</v>
      </c>
      <c r="D4" s="33">
        <v>2.0</v>
      </c>
      <c r="E4" s="35">
        <f t="shared" si="1"/>
        <v>2</v>
      </c>
    </row>
    <row r="5" ht="22.5" customHeight="1">
      <c r="A5" s="33" t="s">
        <v>190</v>
      </c>
      <c r="B5" s="33">
        <v>0.0</v>
      </c>
      <c r="C5" s="33">
        <v>2.0</v>
      </c>
      <c r="D5" s="33">
        <v>4.0</v>
      </c>
      <c r="E5" s="35">
        <f t="shared" si="1"/>
        <v>6</v>
      </c>
    </row>
    <row r="6" ht="22.5" customHeight="1">
      <c r="A6" s="33" t="s">
        <v>191</v>
      </c>
      <c r="B6" s="33">
        <v>0.0</v>
      </c>
      <c r="C6" s="33">
        <v>0.0</v>
      </c>
      <c r="D6" s="33">
        <v>4.0</v>
      </c>
      <c r="E6" s="35">
        <f t="shared" si="1"/>
        <v>4</v>
      </c>
    </row>
    <row r="7" ht="22.5" customHeight="1">
      <c r="A7" s="33" t="s">
        <v>192</v>
      </c>
      <c r="B7" s="33">
        <v>8.0</v>
      </c>
      <c r="C7" s="33">
        <v>10.0</v>
      </c>
      <c r="D7" s="33">
        <v>8.0</v>
      </c>
      <c r="E7" s="35">
        <f t="shared" si="1"/>
        <v>26</v>
      </c>
    </row>
    <row r="8" ht="22.5" customHeight="1">
      <c r="A8" s="33" t="s">
        <v>193</v>
      </c>
      <c r="B8" s="33">
        <v>24.0</v>
      </c>
      <c r="C8" s="33">
        <v>10.0</v>
      </c>
      <c r="D8" s="33">
        <v>0.0</v>
      </c>
      <c r="E8" s="35">
        <f t="shared" si="1"/>
        <v>34</v>
      </c>
    </row>
    <row r="9" ht="22.5" customHeight="1">
      <c r="A9" s="33" t="s">
        <v>194</v>
      </c>
      <c r="B9" s="33">
        <v>8.0</v>
      </c>
      <c r="C9" s="33">
        <v>0.0</v>
      </c>
      <c r="D9" s="33">
        <v>0.0</v>
      </c>
      <c r="E9" s="35">
        <f t="shared" si="1"/>
        <v>8</v>
      </c>
    </row>
    <row r="10" ht="22.5" customHeight="1">
      <c r="A10" s="36" t="s">
        <v>195</v>
      </c>
      <c r="B10" s="37">
        <f t="shared" ref="B10:D10" si="2">SUM(B2:B9)</f>
        <v>56</v>
      </c>
      <c r="C10" s="37">
        <f t="shared" si="2"/>
        <v>26</v>
      </c>
      <c r="D10" s="37">
        <f t="shared" si="2"/>
        <v>22</v>
      </c>
      <c r="E10" s="38"/>
    </row>
  </sheetData>
  <drawing r:id="rId1"/>
  <tableParts count="1">
    <tablePart r:id="rId3"/>
  </tableParts>
</worksheet>
</file>